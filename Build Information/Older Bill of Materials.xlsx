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 China 2025-11-24" sheetId="1" r:id="rId4"/>
    <sheet state="visible" name="second bot parts 2" sheetId="2" r:id="rId5"/>
    <sheet state="visible" name="Expensive Parts List as of 2025" sheetId="3" r:id="rId6"/>
    <sheet state="visible" name="Second bot parts" sheetId="4" r:id="rId7"/>
  </sheets>
  <definedNames/>
  <calcPr/>
  <extLst>
    <ext uri="GoogleSheetsCustomDataVersion2">
      <go:sheetsCustomData xmlns:go="http://customooxmlschemas.google.com/" r:id="rId8" roundtripDataChecksum="anPJbRj5sn21bpfCPd+uGYOHIxFMSGsG7LRiD9N4MX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6">
      <text>
        <t xml:space="preserve">======
ID#AAABeFdtV9M
黃品喆    (2025-02-14 16:59:12)
page not found</t>
      </text>
    </comment>
  </commentList>
  <extLst>
    <ext uri="GoogleSheetsCustomDataVersion2">
      <go:sheetsCustomData xmlns:go="http://customooxmlschemas.google.com/" r:id="rId1" roundtripDataSignature="AMtx7mj2ZrXlr+vUgZ7YYeWvQvMUcoUJeQ=="/>
    </ext>
  </extLst>
</comments>
</file>

<file path=xl/sharedStrings.xml><?xml version="1.0" encoding="utf-8"?>
<sst xmlns="http://schemas.openxmlformats.org/spreadsheetml/2006/main" count="552" uniqueCount="191">
  <si>
    <t>Part Name</t>
  </si>
  <si>
    <t>Quantity Needed</t>
  </si>
  <si>
    <t>Retail Quantity</t>
  </si>
  <si>
    <t>Unit price</t>
  </si>
  <si>
    <t>Price for all</t>
  </si>
  <si>
    <t>Vendor</t>
  </si>
  <si>
    <t>URL</t>
  </si>
  <si>
    <t>IC I2C TB6612 Mosfet Stepper Motor PCA9685 Servo Driver Shield V2 For Robot PWM Mega R3</t>
  </si>
  <si>
    <t>AliExpress</t>
  </si>
  <si>
    <t>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</t>
  </si>
  <si>
    <t>Adafruit DS3231 Real-Time Clock</t>
  </si>
  <si>
    <t>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</t>
  </si>
  <si>
    <t>TLC5947 module 12-Bit 24-Channel PWM LED Driver Module With Internal Oscillator 12 Bit 3-5.5V</t>
  </si>
  <si>
    <t>Alibaba</t>
  </si>
  <si>
    <t>https://www.alibaba.com/product-detail/TLC5947-module-12-Bit-24-Channel_62586041214.html?spm=a2700.galleryofferlist.normal_offer.d_title.3fb413a0GBOiNw&amp;priceId=47e17c71cdde4774b84ecf4fa5e1e2d3</t>
  </si>
  <si>
    <t>Adafruit DRV8871 DC Motor Controller</t>
  </si>
  <si>
    <t>https://www.aliexpress.us/item/3256809806051721.html?spm=a2g0o.productlist.main.6.52b039c5o3jft4&amp;algo_pvid=25557c5a-5483-48cb-9936-965b7b127e3d&amp;algo_exp_id=25557c5a-5483-48cb-9936-965b7b127e3d-5&amp;pdp_ext_f=%7B%22order%22%3A%2295%22%2C%22eval%22%3A%221%22%2C%22fromPage%22%3A%22search%22%7D&amp;pdp_npi=6%40dis%21USD%212.60%212.53%21%21%2118.31%2117.84%21%402101e2b217646180632656557edd06%2112000050782541047%21sea%21US%21747277411%21X%211%210%21n_tag%3A-29919%3Bd%3Aab21f4a7%3Bm03_new_user%3A-29895&amp;curPageLogUid=Eqp3fZFoM7K1&amp;utparam-url=scene%3Asearch%7Cquery_from%3A%7Cx_object_id%3A1005009992366473%7C_p_origin_prod%3A</t>
  </si>
  <si>
    <t>TSL2591 Light Sensor</t>
  </si>
  <si>
    <t>https://www.alibaba.com/product-detail/TSL2591-Digital-Light-Sensor-Breakout-Module_1601221697469.html?spm=a2700.galleryofferlist.normal_offer.d_title.454113a0p2WtNN&amp;priceId=1204ae311b9d4177a32bed3a3f9af1b0</t>
  </si>
  <si>
    <t>TCA9548A I2C Multiplexer Module – 1-to-8 Channel Expansion Board for IIC Bus (8-Way</t>
  </si>
  <si>
    <r>
      <rPr>
        <color rgb="FF1155CC"/>
        <u/>
      </rPr>
      <t>https://www.adafruit.com/product/2717</t>
    </r>
    <r>
      <rPr/>
      <t xml:space="preserve"> </t>
    </r>
  </si>
  <si>
    <t>DC Motor Peristaltic Pump</t>
  </si>
  <si>
    <t>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</t>
  </si>
  <si>
    <t>PTC Heating Plate 80C</t>
  </si>
  <si>
    <t>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</t>
  </si>
  <si>
    <t>Waterproof Button</t>
  </si>
  <si>
    <t>https://www.aliexpress.us/item/3256803116546507.html?spm=a2g0o.productlist.main.3.512523b3vhbmVX&amp;algo_pvid=e1ba1260-de8f-49af-bf56-79db9215f60f&amp;algo_exp_id=e1ba1260-de8f-49af-bf56-79db9215f60f-2&amp;pdp_ext_f=%7B%22order%22%3A%22561%22%2C%22eval%22%3A%221%22%2C%22fromPage%22%3A%22search%22%7D&amp;pdp_npi=6%40dis%21USD%213.17%212.97%21%21%2122.28%2120.88%21%402101c44517646184329484367e5038%2112000035351804949%21sea%21US%21747277411%21X%211%210%21n_tag%3A-29919%3Bd%3Aab21f4a7%3Bm03_new_user%3A-29895&amp;curPageLogUid=xL4qqrG5PEyM&amp;utparam-url=scene%3Asearch%7Cquery_from%3A%7Cx_object_id%3A1005003302861259%7C_p_origin_prod%3A</t>
  </si>
  <si>
    <t>5mm x 300mm Steel Rod</t>
  </si>
  <si>
    <t>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</t>
  </si>
  <si>
    <t>Serial IIC I2C TWI 2004 204 20*4 English &amp; Japanese Character LCD Module Display Panel Screen for Arduino</t>
  </si>
  <si>
    <t xml:space="preserve">https://www.amazon.com/gp/product/B07TXGD3WS/ref=ppx_yo_dt_b_search_asin_title?ie=UTF8&amp;psc=1 </t>
  </si>
  <si>
    <t>Matte Black PLA Filament</t>
  </si>
  <si>
    <t>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</t>
  </si>
  <si>
    <t>Arduino MEGA 2560 R3</t>
  </si>
  <si>
    <t>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</t>
  </si>
  <si>
    <t>12v to 5v Converter</t>
  </si>
  <si>
    <t>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</t>
  </si>
  <si>
    <t>Pin Connector</t>
  </si>
  <si>
    <t>https://www.aliexpress.us/item/3256806077264771.html?spm=a2</t>
  </si>
  <si>
    <t>Pin Connector Housing</t>
  </si>
  <si>
    <t>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</t>
  </si>
  <si>
    <t>M2.5 x 10mm Female Standoff</t>
  </si>
  <si>
    <t>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</t>
  </si>
  <si>
    <t>M3 x 10mm Female Standoff</t>
  </si>
  <si>
    <t xml:space="preserve">Dispensing Needle 14ga 4" </t>
  </si>
  <si>
    <t>https://www.aliexpress.us/item/3256806422675515.html?spm=a2g0o.productlist.main.39.6ceb6c10UQ7sWW&amp;utparam-url=scene%3AimageSearch%7Cquery_from%3Apc_back_same_best%7Cx_object_id%3A1005006608990267%7C_p_origin_prod%3A&amp;algo_pvid=bcc55953-63de-46b1-aace-2dabab5b5f9e&amp;algo_exp_id=bcc55953-63de-46b1-aace-2dabab5b5f9e&amp;pdp_ext_f=%7B%22order%22%3A%22250%22%2C%22fromPage%22%3A%22search%22%7D&amp;pdp_npi=6%40dis%21USD%215.00%215.00%21%21%2135.16%2135.16%21%402101d9ef17649160354633506e55d3%2112000037811339107%21sea%21US%21747277411%21X%211%210%21n_tag%3A-29919%3Bd%3Aab21f4a7%3Bm03_new_user%3A-29895&amp;gatewayAdapt=4itemAdapt</t>
  </si>
  <si>
    <t>10 Pack - Dispensing Needle 10G x 5" - Blunt Tip, Luer Lock, All Metal (Stainless Steel)</t>
  </si>
  <si>
    <t>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</t>
  </si>
  <si>
    <t xml:space="preserve">Dispensing Needle 14ga 1.5" </t>
  </si>
  <si>
    <t>https://www.aliexpress.us/item/3256808088472590.html?spm=a2g0o.productlist.main.10.61044bb48N9qJI&amp;algo_pvid=82ef8283-ab99-4cf9-a08e-b16617b9f412&amp;algo_exp_id=82ef8283-ab99-4cf9-a08e-b16617b9f412-9&amp;pdp_ext_f=%7B%22order%22%3A%22122%22%2C%22eval%22%3A%221%22%2C%22fromPage%22%3A%22search%22%7D&amp;pdp_npi=6%40dis%21USD%213.68%213.68%21%21%2125.89%2125.89%21%402103126e17649163962338464e138d%2112000044448400889%21sea%21US%21747277411%21X%211%210%21n_tag%3A-29919%3Bd%3Aab21f4a7%3Bm03_new_user%3A-29895&amp;curPageLogUid=Nd4i0lxbjFsQ&amp;utparam-url=scene%3Asearch%7Cquery_from%3A%7Cx_object_id%3A1005008274787342%7C_p_origin_prod%3A</t>
  </si>
  <si>
    <t>8mm x 20mm olive-shaped stir bar</t>
  </si>
  <si>
    <t>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</t>
  </si>
  <si>
    <t>90mL Glass Vial</t>
  </si>
  <si>
    <t>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</t>
  </si>
  <si>
    <t>Barrel Jack Connector 5.5x2.1mm</t>
  </si>
  <si>
    <t>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</t>
  </si>
  <si>
    <t>Industrial MicroSD Card 32Gb</t>
  </si>
  <si>
    <t>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</t>
  </si>
  <si>
    <t>M2.5 Hex Screw Kit 4mm, 10mm</t>
  </si>
  <si>
    <t>50 each</t>
  </si>
  <si>
    <t>https://www.aliexpress.us/item/3256803907721123.html?spm=a2g0o.productlist.main.1.4a8f5c21Q5FkJ2&amp;algo_pvid=33eb0c89-3ee4-4e59-bca6-64ef50b50217&amp;algo_exp_id=33eb0c89-3ee4-4e59-bca6-64ef50b50217-0&amp;pdp_ext_f=%7B%22order%22%3A%22716%22%2C%22eval%22%3A%221%22%2C%22fromPage%22%3A%22search%22%7D&amp;pdp_npi=6%40dis%21USD%217.17%217.17%21%21%217.17%217.17%21%402101dedf17649680763022169e395a%2112000028013096838%21sea%21US%21747277411%21X%211%210%21n_tag%3A-29919%3Bd%3Aab21f4a7%3Bm03_new_user%3A-29895&amp;curPageLogUid=memrVmdLUUmt&amp;utparam-url=scene%3Asearch%7Cquery_from%3A%7Cx_object_id%3A1005004094035875%7C_p_origin_prod%3A</t>
  </si>
  <si>
    <t>M3 Hex Screw Kit 4mm, 10mm, 20mm</t>
  </si>
  <si>
    <t>https://www.aliexpress.us/item/2251832793785357.html?spm=a2g0o.productlist.main.11.bdc874o274o2US&amp;algo_pvid=de12a7fc-78fb-4f73-8647-2b32aad200cd&amp;algo_exp_id=de12a7fc-78fb-4f73-8647-2b32aad200cd-10&amp;pdp_ext_f=%7B%22order%22%3A%22212%22%2C%22eval%22%3A%221%22%2C%22fromPage%22%3A%22search%22%7D&amp;pdp_npi=6%40dis%21USD%211.45%211.45%21%21%211.45%211.45%21%402103274e17649683567607759e4e8e%2112000029598809782%21sea%21US%21747277411%21X%211%210%21n_tag%3A-29919%3Bd%3Aab21f4a7%3Bm03_new_user%3A-29895&amp;curPageLogUid=0Fh3A0FxOjEa&amp;utparam-url=scene%3Asearch%7Cquery_from%3A%7Cx_object_id%3A32980100109%7C_p_origin_prod%3A</t>
  </si>
  <si>
    <t>Double Sided Tape Heavy Duty</t>
  </si>
  <si>
    <t>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</t>
  </si>
  <si>
    <t xml:space="preserve">Rocker Switch </t>
  </si>
  <si>
    <t>https://www.aliexpress.us/item/2251832687071918.html?spm=a2g0o.productlist.main.39.5f1353d0CXqf4A&amp;algo_pvid=fc3623f9-40e9-4f9c-ab5a-f3ac1dbe8502&amp;algo_exp_id=fc3623f9-40e9-4f9c-ab5a-f3ac1dbe8502-38&amp;pdp_ext_f=%7B%22order%22%3A%223519%22%2C%22eval%22%3A%221%22%2C%22fromPage%22%3A%22search%22%7D&amp;pdp_npi=6%40dis%21USD%211.43%211.43%21%21%211.43%211.43%21%4021030a4b17649688537392129e153b%2165526366999%21sea%21US%21747277411%21X%211%210%21n_tag%3A-29919%3Bd%3Aab21f4a7%3Bm03_new_user%3A-29895&amp;curPageLogUid=4V8XkcMblquU&amp;utparam-url=scene%3Asearch%7Cquery_from%3A%7Cx_object_id%3A32873386670%7C_p_origin_prod%3A</t>
  </si>
  <si>
    <t>CR1220 Lithium Battery</t>
  </si>
  <si>
    <t>https://www.aliexpress.us/item/3256808697007607.html?spm=a2g0o.productlist.main.3.28a47c79j6IJaT&amp;algo_pvid=24dd33cc-af44-483f-9005-8d680118d8ab&amp;algo_exp_id=24dd33cc-af44-483f-9005-8d680118d8ab-2&amp;pdp_ext_f=%7B%22order%22%3A%22102%22%2C%22eval%22%3A%221%22%2C%22fromPage%22%3A%22search%22%7D&amp;pdp_npi=6%40dis%21USD%213.18%212.38%21%21%2122.35%2116.76%21%40210325a917649690688323567e2f4a%2112000047075772143%21sea%21US%21747277411%21X%211%210%21n_tag%3A-29919%3Bd%3Aab21f4a7%3Bm03_new_user%3A-29895&amp;curPageLogUid=drx6CjwDRf4p&amp;utparam-url=scene%3Asearch%7Cquery_from%3A%7Cx_object_id%3A1005008883322359%7C_p_origin_prod%3A</t>
  </si>
  <si>
    <t>Silicone Tubing 1/8" ID x 1/4" OD</t>
  </si>
  <si>
    <t>5m</t>
  </si>
  <si>
    <t>https://www.aliexpress.us/item/3256807463903641.html?spm=a2g0o.productlist.main.22.3adb2ef2Ts6kxo&amp;algo_pvid=3563170c-b7c9-4d8f-9f66-7bc7fc022c29&amp;algo_exp_id=3563170c-b7c9-4d8f-9f66-7bc7fc022c29-21&amp;pdp_ext_f=%7B%22order%22%3A%2216%22%2C%22eval%22%3A%221%22%2C%22fromPage%22%3A%22search%22%7D&amp;pdp_npi=6%40dis%21USD%218.74%215.68%21%21%2161.41%2139.92%21%4021033d1217649691300721760e2784%2112000041651551254%21sea%21US%21747277411%21X%211%210%21n_tag%3A-29919%3Bd%3Aab21f4a7%3Bm03_new_user%3A-29895&amp;curPageLogUid=STi7P96EXRlY&amp;utparam-url=scene%3Asearch%7Cquery_from%3A%7Cx_object_id%3A1005007650218393%7C_p_origin_prod%3A</t>
  </si>
  <si>
    <t>L298N Motor Controller</t>
  </si>
  <si>
    <t>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</t>
  </si>
  <si>
    <t>Female Pin Header Kit</t>
  </si>
  <si>
    <t>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</t>
  </si>
  <si>
    <t>Male Pin Header Strips</t>
  </si>
  <si>
    <t>https://www.aliexpress.us/item/3256809164675006.html?spm=a2g0o.productlist.main.5.55d69Ihf9IhfBc&amp;algo_pvid=84cf6a6d-a99d-48c9-bb7a-deaba1877756&amp;algo_exp_id=84cf6a6d-a99d-48c9-bb7a-deaba1877756-4&amp;pdp_ext_f=%7B%22order%22%3A%22937%22%2C%22eval%22%3A%221%22%2C%22orig_sl_item_id%22%3A%221005009350989758%22%2C%22orig_item_id%22%3A%221005009370767269%22%2C%22fromPage%22%3A%22search%22%7D&amp;pdp_npi=6%40dis%21USD%213.93%211.97%21%21%2127.60%2113.80%21%402101e2b417649696165324905eaf47%2112000048841055747%21sea%21US%21747277411%21X%211%210%21n_tag%3A-29919%3Bd%3Aab21f4a7%3Bm03_new_user%3A-29895&amp;curPageLogUid=NwdbH9P0lvf9&amp;utparam-url=scene%3Asearch%7Cquery_from%3A%7Cx_object_id%3A1005009350989758%7C_p_origin_prod%3A1005009370767269</t>
  </si>
  <si>
    <t>Male Pin Header Right Angle Strips</t>
  </si>
  <si>
    <t>https://www.aliexpress.us/item/3256807383526945.html?spm=a2g0o.productlist.main.23.55d69Ihf9IhfBc&amp;algo_pvid=84cf6a6d-a99d-48c9-bb7a-deaba1877756&amp;algo_exp_id=84cf6a6d-a99d-48c9-bb7a-deaba1877756-22&amp;pdp_ext_f=%7B%22order%22%3A%221842%22%2C%22eval%22%3A%221%22%2C%22fromPage%22%3A%22search%22%7D&amp;pdp_npi=6%40dis%21USD%211.04%211.03%21%21%211.04%211.03%21%402101e2b417649696165324905eaf47%2112000041441724073%21sea%21US%21747277411%21X%211%210%21n_tag%3A-29919%3Bd%3Aab21f4a7%3Bm03_new_user%3A-29895&amp;curPageLogUid=kdMGiPZ6hEm8&amp;utparam-url=scene%3Asearch%7Cquery_from%3A%7Cx_object_id%3A1005007569841697%7C_p_origin_prod%3A</t>
  </si>
  <si>
    <t>2.54mm Jumper Caps</t>
  </si>
  <si>
    <t>https://www.aliexpress.us/item/3256805359306528.html?spm=a2g0o.productlist.main.2.1a403306vBZjHU&amp;algo_pvid=73f02e13-6f4b-4626-b43b-a2fefdb3a101&amp;algo_exp_id=73f02e13-6f4b-4626-b43b-a2fefdb3a101-1&amp;pdp_ext_f=%7B%22order%22%3A%2224%22%2C%22eval%22%3A%221%22%2C%22fromPage%22%3A%22search%22%7D&amp;pdp_npi=6%40dis%21USD%211.26%211.13%21%21%218.88%217.99%21%402103128817649698710865034e8163%2112000033484039989%21sea%21US%21747277411%21X%211%210%21n_tag%3A-29919%3Bd%3Aab21f4a7%3Bm03_new_user%3A-29895&amp;curPageLogUid=xutyn0z4C155&amp;utparam-url=scene%3Asearch%7Cquery_from%3A%7Cx_object_id%3A1005005545621280%7C_p_origin_prod%3A</t>
  </si>
  <si>
    <t>12v 5A Power Supply</t>
  </si>
  <si>
    <t>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</t>
  </si>
  <si>
    <t>Square Adhesive Rubber Feet</t>
  </si>
  <si>
    <t>https://www.aliexpress.us/item/2251832785210189.html?spm=a2g0o.productlist.main.42.76cd679bKyZvrT&amp;algo_pvid=4c213eac-d1d3-4fde-9bbd-6d86da2fcf90&amp;algo_exp_id=4c213eac-d1d3-4fde-9bbd-6d86da2fcf90-41&amp;pdp_ext_f=%7B%22order%22%3A%2212%22%2C%22eval%22%3A%221%22%2C%22fromPage%22%3A%22search%22%7D&amp;pdp_npi=6%40dis%21USD%212.92%212.89%21%21%212.92%212.89%21%402101df0e17649700732563783e8a4a%2166622759931%21sea%21US%21747277411%21X%211%210%21n_tag%3A-29919%3Bd%3Aab21f4a7%3Bm03_new_user%3A-29895&amp;curPageLogUid=zY0jLTF8NWrz&amp;utparam-url=scene%3Asearch%7Cquery_from%3A%7Cx_object_id%3A32971524941%7C_p_origin_prod%3A</t>
  </si>
  <si>
    <t>PES 0.22um Syringe Filters</t>
  </si>
  <si>
    <t>https://www.aliexpress.us/item/3256806983863516.html?spm=a2g0o.productlist.main.6.519d2d9d49NtVJ&amp;algo_pvid=20445d76-64ea-4db9-814c-9df757548c9f&amp;algo_exp_id=20445d76-64ea-4db9-814c-9df757548c9f-5&amp;pdp_ext_f=%7B%22order%22%3A%2243%22%2C%22eval%22%3A%221%22%2C%22fromPage%22%3A%22search%22%7D&amp;pdp_npi=6%40dis%21USD%2111.15%2111.15%21%21%2111.15%2111.15%21%402101c59117649701531786154e588b%2112000039686174937%21sea%21US%21747277411%21X%211%210%21n_tag%3A-29919%3Bd%3Aab21f4a7%3Bm03_new_user%3A-29895&amp;curPageLogUid=6LAvoEP7xlQJ&amp;utparam-url=scene%3Asearch%7Cquery_from%3A%7Cx_object_id%3A1005007170178268%7C_p_origin_prod%3A</t>
  </si>
  <si>
    <t>Neodymium Magnets 12x6x3mm</t>
  </si>
  <si>
    <t>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</t>
  </si>
  <si>
    <t xml:space="preserve">PC Fan 40x20mm </t>
  </si>
  <si>
    <t>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</t>
  </si>
  <si>
    <t>MicroSD Card Module</t>
  </si>
  <si>
    <t>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</t>
  </si>
  <si>
    <t>Black High Temp Silicone Sealant</t>
  </si>
  <si>
    <t>https://www.aliexpress.us/item/3256809082794580.html?spm=a2g0o.productlist.main.22.5f12268fntknwD&amp;algo_pvid=b0e740d3-ff4e-4999-94be-f90ec70e77dd&amp;algo_exp_id=b0e740d3-ff4e-4999-94be-f90ec70e77dd-21&amp;pdp_ext_f=%7B%22order%22%3A%22948%22%2C%22eval%22%3A%221%22%2C%22fromPage%22%3A%22search%22%7D&amp;pdp_npi=6%40dis%21USD%213.44%213.44%21%21%213.44%213.44%21%4021033d9d17649713377933723e722f%2112000048551820723%21sea%21US%21747277411%21X%211%210%21n_tag%3A-29919%3Bd%3Aab21f4a7%3Bm03_new_user%3A-29895&amp;curPageLogUid=5iZxJbS0rAOQ&amp;utparam-url=scene%3Asearch%7Cquery_from%3A%7Cx_object_id%3A1005009269109332%7C_p_origin_prod%3A</t>
  </si>
  <si>
    <t>22AWG Silicone Wire Kit Box 1</t>
  </si>
  <si>
    <t>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</t>
  </si>
  <si>
    <t>22AWG Silicone Wire Kit Box 2</t>
  </si>
  <si>
    <t>Smooth Flow Flux</t>
  </si>
  <si>
    <t>https://www.aliexpress.us/item/3256807619367300.html?spm=a2g0o.productlist.main.23.42c94f8coztNjN&amp;algo_pvid=d97e0657-30e1-4467-822f-c4d1235e7a15&amp;algo_exp_id=d97e0657-30e1-4467-822f-c4d1235e7a15-22&amp;pdp_ext_f=%7B%22order%22%3A%225863%22%2C%22eval%22%3A%221%22%2C%22orig_sl_item_id%22%3A%221005007805682052%22%2C%22orig_item_id%22%3A%221005009860309107%22%2C%22fromPage%22%3A%22search%22%7D&amp;pdp_npi=6%40dis%21USD%215.54%212.77%21%21%2138.96%2119.48%21%40210311a017649713938427768e35c7%2112000042262109145%21sea%21US%21747277411%21X%211%210%21n_tag%3A-29919%3Bd%3Aab21f4a7%3Bm03_new_user%3A-29895&amp;curPageLogUid=2C5Q7TgWCZ7L&amp;utparam-url=scene%3Asearch%7Cquery_from%3A%7Cx_object_id%3A1005007805682052%7C_p_origin_prod%3A1005009860309107</t>
  </si>
  <si>
    <t>Lead-Free Solder</t>
  </si>
  <si>
    <t>https://www.aliexpress.us/item/3256807913795917.html?spm=a2g0o.productlist.main.7.28c72b46qYZ2g1&amp;algo_pvid=56bdb0b9-4801-41fc-929e-705e60f848d3&amp;algo_exp_id=56bdb0b9-4801-41fc-929e-705e60f848d3-6&amp;pdp_ext_f=%7B%22order%22%3A%22261%22%2C%22eval%22%3A%221%22%2C%22fromPage%22%3A%22search%22%7D&amp;pdp_npi=6%40dis%21USD%214.59%214.33%21%21%2132.23%2130.40%21%40210311cc17649714919111469e068a%2112000043743456015%21sea%21US%21747277411%21X%211%210%21n_tag%3A-29919%3Bd%3Aab21f4a7%3Bm03_new_user%3A-29895&amp;curPageLogUid=2KA0dfwCmOtA&amp;utparam-url=scene%3Asearch%7Cquery_from%3A%7Cx_object_id%3A1005008100110669%7C_p_origin_prod%3A</t>
  </si>
  <si>
    <t>Hard Silicone Rubber Casting Resin</t>
  </si>
  <si>
    <t>Amazon</t>
  </si>
  <si>
    <t>https://www.amazon.com/dp/B07YWBXVND?ref_=ppx_hzsearch_conn_dt_b_fed_asin_title_2&amp;th=1</t>
  </si>
  <si>
    <t>Luer Lock Female to Barb 1/8" Cat# 51525K293</t>
  </si>
  <si>
    <t>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</t>
  </si>
  <si>
    <t>Luer Lock Male to Barb 1/8" Cat# 51525K143</t>
  </si>
  <si>
    <t>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</t>
  </si>
  <si>
    <t>Precision 10K Ohm Resistor</t>
  </si>
  <si>
    <t>Mouser</t>
  </si>
  <si>
    <t>https://www.amazon.com/PTF5610K000BZBF-Resistors-Through-10Kohms-PTF-56/dp/B09G76FF29</t>
  </si>
  <si>
    <t>Precision 10K Ohm NTC Thermistor</t>
  </si>
  <si>
    <t>DigiKey</t>
  </si>
  <si>
    <t>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</t>
  </si>
  <si>
    <t>Precision 2.49K Ohm Resistor</t>
  </si>
  <si>
    <t>https://www.digikey.com/en/products/detail/stackpole-electronics-inc/RNF14BTE2K49/1752591</t>
  </si>
  <si>
    <t>Equipment</t>
  </si>
  <si>
    <t>Helping Hands</t>
  </si>
  <si>
    <t>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</t>
  </si>
  <si>
    <t>Soldering Iron, 160W High Power Soldering Tool, LED Digital Display Temperature Control Accurate 392°F-932°F, with ON/OFF Switch, 3 Iron Tips, Stand,Flux, Automatic Sleep Mode</t>
  </si>
  <si>
    <t>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</t>
  </si>
  <si>
    <t>Optional LEDs (100 UV-NIR, includes shipping)</t>
  </si>
  <si>
    <t>https://www.alibaba.com/product-detail/5mm3mm-ultraviolet-led-high-power-epistar_1600714829021.html?spm=a2700.galleryofferlist.normal_offer.d_title.54e313a0W6dUsW&amp;priceId=866a632b90c749a088dd557264684f75</t>
  </si>
  <si>
    <t xml:space="preserve">Pior reactor, no SD card, no soldering iron, helping hands. </t>
  </si>
  <si>
    <r>
      <rPr>
        <color rgb="FF1155CC"/>
        <u/>
      </rPr>
      <t>https://www.adafruit.com/product/2717</t>
    </r>
    <r>
      <rPr/>
      <t xml:space="preserve"> </t>
    </r>
  </si>
  <si>
    <t>Optional Black Mica powder</t>
  </si>
  <si>
    <t>https://www.aliexpress.us/item/3256805821013496.html?src=google&amp;pdp_npi=4%40dis%21USD%210.95%210.86%21%21%21%21%21%40%2112000035298766573%21ppc%21%21%21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3256805821013496&amp;ds_e_product_merchant_id=109329369&amp;ds_e_product_country=US&amp;ds_e_product_language=en&amp;ds_e_product_channel=online&amp;ds_e_product_store_id=&amp;ds_url_v=2&amp;albcp=22964387469&amp;albag=&amp;isSmbAutoCall=false&amp;needSmbHouyi=false&amp;gad_source=1&amp;gad_campaignid=22970612606&amp;gbraid=0AAAABBR8kP1B8BlXYHpFzwLa1-xrd8p9E&amp;gclid=Cj0KCQiAi9rJBhCYARIsALyPDttHurt7kULbUE15m3vUp1L_59iK5xJHZ6Hasts7tH8fXVGDAgOx_rkaAhXmEALw_wcB&amp;gatewayAdapt=glo2usa</t>
  </si>
  <si>
    <t>Adafruit Motor Controller Shield</t>
  </si>
  <si>
    <t>Adafruit</t>
  </si>
  <si>
    <t>https://www.adafruit.com/product/1438</t>
  </si>
  <si>
    <r>
      <rPr>
        <color rgb="FF1155CC"/>
        <u/>
      </rPr>
      <t>https://www.adafruit.com/product/5188</t>
    </r>
    <r>
      <rPr/>
      <t xml:space="preserve"> </t>
    </r>
  </si>
  <si>
    <t>Adafruit 24-Channel 12-bit PWM Driver</t>
  </si>
  <si>
    <r>
      <rPr>
        <color rgb="FF1155CC"/>
        <u/>
      </rPr>
      <t>https://www.adafruit.com/product/1429</t>
    </r>
    <r>
      <rPr/>
      <t xml:space="preserve"> </t>
    </r>
  </si>
  <si>
    <r>
      <rPr>
        <color rgb="FF1155CC"/>
        <u/>
      </rPr>
      <t>https://www.adafruit.com/product/3190</t>
    </r>
    <r>
      <rPr/>
      <t xml:space="preserve"> </t>
    </r>
  </si>
  <si>
    <r>
      <rPr>
        <color rgb="FF1155CC"/>
        <u/>
      </rPr>
      <t>https://www.adafruit.com/product/1980</t>
    </r>
    <r>
      <rPr/>
      <t xml:space="preserve"> </t>
    </r>
  </si>
  <si>
    <t>Adafruit I2C Multiplexer</t>
  </si>
  <si>
    <r>
      <rPr>
        <color rgb="FF1155CC"/>
        <u/>
      </rPr>
      <t>https://www.adafruit.com/product/2717</t>
    </r>
    <r>
      <rPr/>
      <t xml:space="preserve"> </t>
    </r>
  </si>
  <si>
    <t>https://www.aliexpress.us/item/3256809286779220.html</t>
  </si>
  <si>
    <t xml:space="preserve">https://www.amazon.com/gp/product/B07F24Y1TB/ref=ppx_yo_dt_b_asin_title_o01_s00?ie=UTF8&amp;psc=1 </t>
  </si>
  <si>
    <t xml:space="preserve">https://www.amazon.com/gp/product/B082ZPCP7X/ref=ppx_yo_dt_b_asin_title_o00_s00?ie=UTF8&amp;psc=1 </t>
  </si>
  <si>
    <t>LCD Display Module with I2C</t>
  </si>
  <si>
    <t xml:space="preserve">https://www.amazon.com/gp/product/B089S2QDHD/ref=ppx_yo_dt_b_asin_title_o06_s00?ie=UTF8&amp;psc=1 </t>
  </si>
  <si>
    <t xml:space="preserve">https://www.amazon.com/gp/product/B01H4ZDYCE/ref=ppx_yo_dt_b_asin_title_o03_s01?ie=UTF8&amp;psc=1 </t>
  </si>
  <si>
    <t xml:space="preserve">https://www.amazon.com/gp/product/B08NXCTNP8/ref=ppx_yo_dt_b_asin_title_o03_s02?ie=UTF8&amp;psc=1 </t>
  </si>
  <si>
    <t>Female Pin Connector</t>
  </si>
  <si>
    <t xml:space="preserve">https://www.amazon.com/gp/product/B09WDMYTLX/ref=ppx_yo_dt_b_asin_title_o01_s00?ie=UTF8&amp;psc=1 </t>
  </si>
  <si>
    <t>Male Pin Connector</t>
  </si>
  <si>
    <t xml:space="preserve">https://www.amazon.com/gp/product/B09WDMB3QD/ref=ppx_yo_dt_b_asin_title_o01_s00?ie=UTF8&amp;psc=1 </t>
  </si>
  <si>
    <t xml:space="preserve">https://www.amazon.com/gp/product/B094J4GWLR/ref=ppx_yo_dt_b_asin_title_o01_s01?ie=UTF8&amp;psc=1 </t>
  </si>
  <si>
    <t xml:space="preserve">https://www.amazon.com/gp/product/B08F1W3ZXW/ref=ppx_yo_dt_b_asin_title_o02_s00?ie=UTF8&amp;psc=1 </t>
  </si>
  <si>
    <t>https://www.amazon.com/dp/B083GM48C1/ref=sspa_dk_detail_6?pd_rd_w=stg9X&amp;content-id=amzn1.sym.f2f1cf8f-cab4-44dc-82ba-0ca811fb90cc&amp;pf_rd_p=f2f1cf8f-cab4-44dc-82ba-0ca811fb90cc&amp;pf_rd_r=G9XCJ1KGPSKWZJ0EYXN1&amp;pd_rd_wg=zILAq&amp;pd_rd_r=f6110089-95c0-4d2d-9c0f-2a2b4f020396&amp;sp_csd=d2lkZ2V0TmFtZT1zcF9kZXRhaWxfdGhlbWF0aWM&amp;th=1</t>
  </si>
  <si>
    <t>https://www.amazon.com/Dispensing-Industrial-Syringe-Needles-Applicator/dp/B08ZKLBG82/ref=pd_sbs_d_sccl_2_1/139-2241587-3734034?pd_rd_w=JojQw&amp;content-id=amzn1.sym.2cd14f8d-eb5c-4042-b934-4a05eafd2874&amp;pf_rd_p=2cd14f8d-eb5c-4042-b934-4a05eafd2874&amp;pf_rd_r=MHDVP0HRKB56Y3VEH0JG&amp;pd_rd_wg=Nm0jn&amp;pd_rd_r=0c157ae5-d750-4983-8339-b37c4ddca878&amp;pd_rd_i=B08ZKLBG82&amp;th=1</t>
  </si>
  <si>
    <t>https://www.amazon.com/dp/B07994JBVM?ref_=ppx_hzsearch_conn_dt_b_fed_asin_title_2&amp;th=1</t>
  </si>
  <si>
    <t>https://www.amazon.com/PATIKIL-Dispensing-Industrial-Dispenser-Refilling/dp/B0D54JTHYT/ref=sr_1_4?dib=eyJ2IjoiMSJ9.z_uH2blDozmOe-tOq-3VspMRzT8cLdd8GpzaNPz6X24YMn4yIAc5R_V-oWbFX-VSVIXoiDuzgDYs92q1yA5RjwlucD74IJyb_T1P3IftUZzEjg5cPavq6POU4iKq0AydF5rQh3b4B9uOKkjMtLeg6vt05Pe8d_FKaJB4Y3qdfswyqZpRLARz0TStgW1luT_AVbQ5_GwO5QDsEk7Tk6MQQQfrVCrwuuuDqa-GSRb_r4o.bJMdf96NmJ3ZsG5NoEap4riiv4H_ytv_o9_RqPTxB8k&amp;dib_tag=se&amp;keywords=Dispensing%2BNeedles%2B1.5inch&amp;qid=1764012867&amp;sr=8-4&amp;th=1</t>
  </si>
  <si>
    <t xml:space="preserve">https://www.amazon.com/gp/product/B07461T2PR/ref=ppx_yo_dt_b_asin_title_o02_s03?ie=UTF8&amp;psc=1 </t>
  </si>
  <si>
    <t>https://www.walmart.com/ip/90ml-Transparent-Borosilicate-Glass-Bottle-With-Cork-90ml-Breakable-Glass-Bottle-Prop-Gift-Jars-Crafts-6pcs-37x120x27mm/2420888170</t>
  </si>
  <si>
    <t xml:space="preserve">https://www.amazon.com/gp/product/B07S5ZLFDG/ref=ppx_yo_dt_b_asin_title_o02_s04?ie=UTF8&amp;psc=1 </t>
  </si>
  <si>
    <t>Industrial MicroSD Card 8Gb</t>
  </si>
  <si>
    <t>https://www.amazon.com/SanDisk-Ultra-SDSQUNS-016G-GN3MN-UHS-I-microSDHC/dp/B074B4P7KD/ref=sr_1_10?crid=1QV6N593159MI&amp;dib=eyJ2IjoiMSJ9.mShybhEVNc8w2w0v-Tl-XwMsGPBBMO-o61K_iC3Tjhrpq36YlE7xe4voLFDFJ0n3_HfxhsX4tRtvLG2bgxC5rSSrpqUoVV6luzLPkGkwbl39XohttjfXZ8jvxEh8E0gL3iT_o137WQUXBv3CKblwHmuUkCMmqgvJyWCCZDGhJNjFh0WVqQXa3g-VFnVHOtGak44v1aN66IerHv-KOQyh9rvG1i608_hEnX1ojAXjU3mjilrYv6bNNon30AMcp_mUx3X_hPzb13crnOZ_vayCumQNzY6l10QdMn5DVyh5BDw.BGwK6rXD_20lpKUINLYB_1W3yrkOfTDtpQRyYoh93ig&amp;dib_tag=se&amp;keywords=microsd+card&amp;qid=1763763912&amp;s=electronics&amp;sprefix=microsd+car%2Celectronics%2C172&amp;sr=1-10</t>
  </si>
  <si>
    <t>M2.5 Hex Screw Kit</t>
  </si>
  <si>
    <t xml:space="preserve">https://www.amazon.com/gp/product/B09WJ4WF9K/ref=ppx_yo_dt_b_asin_title_o02_s00?ie=UTF8&amp;psc=1 </t>
  </si>
  <si>
    <t>M3 Hex Screw Kit</t>
  </si>
  <si>
    <t xml:space="preserve">https://www.amazon.com/gp/product/B07VNDFYNQ/ref=ppx_yo_dt_b_search_asin_title?ie=UTF8&amp;psc=1 </t>
  </si>
  <si>
    <t xml:space="preserve">https://www.amazon.com/gp/product/B07VNSXY31/ref=ppx_yo_dt_b_asin_title_o03_s00?ie=UTF8&amp;psc=1 </t>
  </si>
  <si>
    <t xml:space="preserve">https://www.amazon.com/gp/product/B01N2U8PK0/ref=ppx_yo_dt_b_asin_title_o00_s00?ie=UTF8&amp;psc=1 </t>
  </si>
  <si>
    <t>https://www.amazon.com/dp/B085T8LXJ4/ref=sspa_dk_detail_4?pd_rd_i=B085T8LXJ4&amp;pd_rd_w=iFNBl&amp;content-id=amzn1.sym.386c274b-4bfe-4421-9052-a1a56db557ab&amp;pf_rd_p=386c274b-4bfe-4421-9052-a1a56db557ab&amp;pf_rd_r=11S34WB0TDGGY0KPY2GZ&amp;pd_rd_wg=0VneH&amp;pd_rd_r=1a37e536-0be1-4723-be76-01994b5c245b&amp;sp_csd=d2lkZ2V0TmFtZT1zcF9kZXRhaWxfdGhlbWF0aWM&amp;th=1</t>
  </si>
  <si>
    <t>10ft</t>
  </si>
  <si>
    <t xml:space="preserve">https://www.amazon.com/gp/product/B07V6TRT4B/ref=ppx_yo_dt_b_asin_title_o01_s00?ie=UTF8&amp;psc=1 </t>
  </si>
  <si>
    <t>amazon.com/Controller-H-Bridge-Stepper-Control-Mega2560/dp/B07WS89781/ref=sr_1_26?+crid=3RIIPSRTJHLMQ&amp;keywords=LM%2Bmotor%2Bcontroller&amp;qid=1665298448&amp;qu=eyJxc2MiOiIyLjYxIiwicXNhIjoiMC4wMCIsInFzcCI6IjAuMDAifQ%3D%3D&amp;sprefix=lm%2Bmotor%2Bcontrolle%2Caps%2C85&amp;sr=8-26&amp;th=1</t>
  </si>
  <si>
    <t xml:space="preserve">https://www.amazon.com/gp/product/B076GZXW3Z/ref=ppx_yo_dt_b_search_asin_title?ie=UTF8&amp;psc=1 </t>
  </si>
  <si>
    <t xml:space="preserve">https://www.amazon.com/gp/product/B07PKKY8BX/ref=ppx_yo_dt_b_search_asin_title?ie=UTF8&amp;psc=1 </t>
  </si>
  <si>
    <r>
      <rPr>
        <color rgb="FF1155CC"/>
        <u/>
      </rPr>
      <t>https://www.amazon.com/Uxcell-a15062500ux0349-Single-40-pin-Breadboard/dp/B01461DQ6S/ref=sr_1_3?crid=ZWIZ3LC1ID5X&amp;keywords=2.54mm+male+header+right+angle&amp;qid=1665298688&amp;qu=eyJxc2MiOiIxLjg4IiwicXNhIjoiMC4wMCIsInFzcCI6IjAuMDAifQ%3D%3D&amp;s=electronics&amp;sprefix=2.54mm+male+header+right+angle%2Celectronics%2C98&amp;sr=1-3</t>
    </r>
    <r>
      <rPr/>
      <t xml:space="preserve"> </t>
    </r>
  </si>
  <si>
    <r>
      <rPr>
        <color rgb="FF1155CC"/>
        <u/>
      </rPr>
      <t>https://www.amazon.com/100PCS-2-54mm-Standard-Circuit-Connection/dp/B09V1NJXY9/ref=sr_1_9?crid=13X9HT26O6YDX&amp;keywords=2.54mm+jumper&amp;qid=1665298748&amp;qu=eyJxc2MiOiIzLjg4IiwicXNhIjoiMy4yMyIsInFzcCI6IjMuMDQifQ%3D%3D&amp;s=electronics&amp;sprefix=2.54mm+jumper%2Celectronics%2C82&amp;sr=1-9</t>
    </r>
    <r>
      <rPr/>
      <t xml:space="preserve"> </t>
    </r>
  </si>
  <si>
    <t>https://www.amazon.com/5-5x2-1mm-Converter-Transformer-Surveillance-External/dp/B07GFFG1BQ?pd_rd_w=cjYOJ&amp;content-id=amzn1.sym.ea1d9533-fbb7-4608-bb6f-bfdceb6f6336&amp;pf_rd_p=ea1d9533-fbb7-4608-bb6f-bfdceb6f6336&amp;pf_rd_r=N0ETXGY2W2MYVXFMP94N&amp;pd_rd_wg=LpEZf&amp;pd_rd_r=0fc31574-33a7-494d-9c7d-2a7a7a827932&amp;ref_=sspa_dk_detail_sbt_0&amp;sp_csd=d2lkZ2V0TmFtZT1zcF9kZXRhaWxfdGhlbWF0aWM&amp;th=1</t>
  </si>
  <si>
    <r>
      <rPr>
        <color rgb="FF1155CC"/>
        <u/>
      </rPr>
      <t>https://www.amazon.com/Black-Square-Adhesive-Rubber-Bumper/dp/B07WDDB7SD/ref=sr_1_26_sspa?crid=2XDE462P2Y3AH&amp;keywords=rubber+feet+square+large&amp;qid=1665299061&amp;qu=eyJxc2MiOiIwLjAwIiwicXNhIjoiMC4wMCIsInFzcCI6IjAuMDAifQ%3D%3D&amp;s=home-garden&amp;sprefix=rubber+feet+square+larg%2Cgarden%2C91&amp;sr=1-26-spons&amp;psc=1&amp;spLa=ZW5jcnlwdGVkUXVhbGlmaWVyPUFQRUlLMFI4UzFOOFAmZW5jcnlwdGVkSWQ9QTA4NjI3MjQySkE3VFZTSk9CRVQzJmVuY3J5cHRlZEFkSWQ9QTA0MDUzODMyWjRaSUhZUVRVTEgyJndpZGdldE5hbWU9c3BfYXRmX25leHQmYWN0aW9uPWNsaWNrUmVkaXJlY3QmZG9Ob3RMb2dDbGljaz10cnVl</t>
    </r>
    <r>
      <rPr/>
      <t xml:space="preserve"> </t>
    </r>
  </si>
  <si>
    <t>https://www.amazon.com/gp/product/B08NSKSS1R/ref=ppx_yo_dt_b_asin_title_o06_s00?ie=UTF8&amp;th=1</t>
  </si>
  <si>
    <r>
      <rPr>
        <color rgb="FF1155CC"/>
        <u/>
      </rPr>
      <t>https://www.amazon.com/gp/product/B07V4GGPW3/ref=ppx_yo_dt_b_asin_title_o06_s00?ie=UTF8&amp;psc=1</t>
    </r>
    <r>
      <rPr/>
      <t xml:space="preserve"> </t>
    </r>
  </si>
  <si>
    <r>
      <rPr>
        <color rgb="FF1155CC"/>
        <u/>
      </rPr>
      <t>https://www.amazon.com/gp/product/B07BJ2P6X6/ref=ppx_yo_dt_b_asin_title_o04_s00?ie=UTF8&amp;psc=1</t>
    </r>
    <r>
      <rPr/>
      <t xml:space="preserve"> </t>
    </r>
  </si>
  <si>
    <r>
      <rPr>
        <color rgb="FF1155CC"/>
        <u/>
      </rPr>
      <t>https://www.amazon.com/gp/product/B000H5Y6CQ/ref=ppx_yo_dt_b_asin_title_o06_s00?ie=UTF8&amp;psc=1</t>
    </r>
    <r>
      <rPr/>
      <t xml:space="preserve"> </t>
    </r>
  </si>
  <si>
    <t>22AWG Silicone Wire Kit</t>
  </si>
  <si>
    <t>https://www.amazon.com/gp/product/B0881HCN37/ref=ppx_yo_dt_b_search_asin_title?ie=UTF8&amp;psc=1</t>
  </si>
  <si>
    <t>amazon.com/dp/B0D8PDLLH6/ref=sspa_dk_detail_5?psc=1&amp;pd_rd_i=B0D8PDLLH6&amp;pd_rd_w=LtmgP&amp;content-id=amzn1.sym.386c274b-4bfe-4421-9052-a1a56db557ab&amp;pf_rd_p=386c274b-4bfe-4421-9052-a1a56db557ab&amp;pf_rd_r=KW9QR1WZXXNQQVJBXP57&amp;pd_rd_wg=dbPcM&amp;pd_rd_r=772af462-d346-4726-a709-01cc1ce73061&amp;sp_csd=d2lkZ2V0TmFtZT1zcF9kZXRhaWxfdGhlbWF0aWM</t>
  </si>
  <si>
    <t>https://www.amazon.com/TBBSC-Solder-Sn99-3-Electrical-Soldering/dp/B08Y5769ZF/ref=sr_1_2_sspa?crid=2LVG8IM0AT7KJ&amp;keywords=lead-free+solder&amp;qid=1665448663&amp;qu=eyJxc2MiOiI0LjE2IiwicXNhIjoiMy45NyIsInFzcCI6IjMuODYifQ%3D%3D&amp;sprefix=lead-free+solder%2Caps%2C75&amp;sr=8-2-spons&amp;psc=1&amp;spLa=ZW5jcnlwdGVkUXVhbGlmaWVyPUEzMTU2RkNWR045VEdLJmVuY3J5cHRlZElkPUEwODk1NzUwMTJXTzA1VlJWSjBQSyZlbmNyeXB0ZWRBZElkPUEwNzM4MzY2MzlGSzZIREdFUkJCSiZ3aWRnZXROYW1lPXNwX2F0ZiZhY3Rpb249Y2xpY2tSZWRpcmVjdCZkb05vdExvZ0NsaWNrPXRydWU=</t>
  </si>
  <si>
    <r>
      <rPr>
        <color rgb="FF1155CC"/>
        <u/>
      </rPr>
      <t>https://www.adafruit.com/product/5188</t>
    </r>
    <r>
      <rPr/>
      <t xml:space="preserve"> </t>
    </r>
  </si>
  <si>
    <r>
      <rPr>
        <color rgb="FF1155CC"/>
        <u/>
      </rPr>
      <t>https://www.adafruit.com/product/1429</t>
    </r>
    <r>
      <rPr/>
      <t xml:space="preserve"> </t>
    </r>
  </si>
  <si>
    <r>
      <rPr>
        <color rgb="FF1155CC"/>
        <u/>
      </rPr>
      <t>https://www.adafruit.com/product/3190</t>
    </r>
    <r>
      <rPr/>
      <t xml:space="preserve"> </t>
    </r>
  </si>
  <si>
    <r>
      <rPr>
        <color rgb="FF1155CC"/>
        <u/>
      </rPr>
      <t>https://www.adafruit.com/product/1980</t>
    </r>
    <r>
      <rPr/>
      <t xml:space="preserve"> </t>
    </r>
  </si>
  <si>
    <r>
      <rPr>
        <color rgb="FF1155CC"/>
        <u/>
      </rPr>
      <t>https://www.adafruit.com/product/2717</t>
    </r>
    <r>
      <rPr/>
      <t xml:space="preserve"> </t>
    </r>
  </si>
  <si>
    <r>
      <rPr>
        <color rgb="FF1155CC"/>
        <u/>
      </rPr>
      <t>https://www.amazon.com/gp/product/B07V4GGPW3/ref=ppx_yo_dt_b_asin_title_o06_s00?ie=UTF8&amp;psc=1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</si>
</sst>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563C1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2" numFmtId="0" xfId="0" applyFont="1"/>
    <xf borderId="0" fillId="3" fontId="2" numFmtId="0" xfId="0" applyFill="1" applyFont="1"/>
    <xf borderId="0" fillId="0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2" numFmtId="165" xfId="0" applyAlignment="1" applyFont="1" applyNumberFormat="1">
      <alignment readingOrder="0"/>
    </xf>
    <xf borderId="0" fillId="5" fontId="2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" TargetMode="External"/><Relationship Id="rId42" Type="http://schemas.openxmlformats.org/officeDocument/2006/relationships/hyperlink" Target="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" TargetMode="External"/><Relationship Id="rId41" Type="http://schemas.openxmlformats.org/officeDocument/2006/relationships/hyperlink" Target="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" TargetMode="External"/><Relationship Id="rId44" Type="http://schemas.openxmlformats.org/officeDocument/2006/relationships/hyperlink" Target="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" TargetMode="External"/><Relationship Id="rId43" Type="http://schemas.openxmlformats.org/officeDocument/2006/relationships/hyperlink" Target="https://www.aliexpress.us/item/3256809082794580.html?spm=a2g0o.productlist.main.22.5f12268fntknwD&amp;algo_pvid=b0e740d3-ff4e-4999-94be-f90ec70e77dd&amp;algo_exp_id=b0e740d3-ff4e-4999-94be-f90ec70e77dd-21&amp;pdp_ext_f=%7B%22order%22%3A%22948%22%2C%22eval%22%3A%221%22%2C%22fromPage%22%3A%22search%22%7D&amp;pdp_npi=6%40dis%21USD%213.44%213.44%21%21%213.44%213.44%21%4021033d9d17649713377933723e722f%2112000048551820723%21sea%21US%21747277411%21X%211%210%21n_tag%3A-29919%3Bd%3Aab21f4a7%3Bm03_new_user%3A-29895&amp;curPageLogUid=5iZxJbS0rAOQ&amp;utparam-url=scene%3Asearch%7Cquery_from%3A%7Cx_object_id%3A1005009269109332%7C_p_origin_prod%3A" TargetMode="External"/><Relationship Id="rId46" Type="http://schemas.openxmlformats.org/officeDocument/2006/relationships/hyperlink" Target="https://www.aliexpress.us/item/3256807619367300.html?spm=a2g0o.productlist.main.23.42c94f8coztNjN&amp;algo_pvid=d97e0657-30e1-4467-822f-c4d1235e7a15&amp;algo_exp_id=d97e0657-30e1-4467-822f-c4d1235e7a15-22&amp;pdp_ext_f=%7B%22order%22%3A%225863%22%2C%22eval%22%3A%221%22%2C%22orig_sl_item_id%22%3A%221005007805682052%22%2C%22orig_item_id%22%3A%221005009860309107%22%2C%22fromPage%22%3A%22search%22%7D&amp;pdp_npi=6%40dis%21USD%215.54%212.77%21%21%2138.96%2119.48%21%40210311a017649713938427768e35c7%2112000042262109145%21sea%21US%21747277411%21X%211%210%21n_tag%3A-29919%3Bd%3Aab21f4a7%3Bm03_new_user%3A-29895&amp;curPageLogUid=2C5Q7TgWCZ7L&amp;utparam-url=scene%3Asearch%7Cquery_from%3A%7Cx_object_id%3A1005007805682052%7C_p_origin_prod%3A1005009860309107" TargetMode="External"/><Relationship Id="rId45" Type="http://schemas.openxmlformats.org/officeDocument/2006/relationships/hyperlink" Target="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" TargetMode="External"/><Relationship Id="rId1" Type="http://schemas.openxmlformats.org/officeDocument/2006/relationships/hyperlink" Target="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" TargetMode="External"/><Relationship Id="rId2" Type="http://schemas.openxmlformats.org/officeDocument/2006/relationships/hyperlink" Target="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" TargetMode="External"/><Relationship Id="rId3" Type="http://schemas.openxmlformats.org/officeDocument/2006/relationships/hyperlink" Target="https://www.alibaba.com/product-detail/TLC5947-module-12-Bit-24-Channel_62586041214.html?spm=a2700.galleryofferlist.normal_offer.d_title.3fb413a0GBOiNw&amp;priceId=47e17c71cdde4774b84ecf4fa5e1e2d3" TargetMode="External"/><Relationship Id="rId4" Type="http://schemas.openxmlformats.org/officeDocument/2006/relationships/hyperlink" Target="https://www.aliexpress.us/item/3256809806051721.html?spm=a2g0o.productlist.main.6.52b039c5o3jft4&amp;algo_pvid=25557c5a-5483-48cb-9936-965b7b127e3d&amp;algo_exp_id=25557c5a-5483-48cb-9936-965b7b127e3d-5&amp;pdp_ext_f=%7B%22order%22%3A%2295%22%2C%22eval%22%3A%221%22%2C%22fromPage%22%3A%22search%22%7D&amp;pdp_npi=6%40dis%21USD%212.60%212.53%21%21%2118.31%2117.84%21%402101e2b217646180632656557edd06%2112000050782541047%21sea%21US%21747277411%21X%211%210%21n_tag%3A-29919%3Bd%3Aab21f4a7%3Bm03_new_user%3A-29895&amp;curPageLogUid=Eqp3fZFoM7K1&amp;utparam-url=scene%3Asearch%7Cquery_from%3A%7Cx_object_id%3A1005009992366473%7C_p_origin_prod%3A" TargetMode="External"/><Relationship Id="rId9" Type="http://schemas.openxmlformats.org/officeDocument/2006/relationships/hyperlink" Target="https://www.aliexpress.us/item/3256803116546507.html?spm=a2g0o.productlist.main.3.512523b3vhbmVX&amp;algo_pvid=e1ba1260-de8f-49af-bf56-79db9215f60f&amp;algo_exp_id=e1ba1260-de8f-49af-bf56-79db9215f60f-2&amp;pdp_ext_f=%7B%22order%22%3A%22561%22%2C%22eval%22%3A%221%22%2C%22fromPage%22%3A%22search%22%7D&amp;pdp_npi=6%40dis%21USD%213.17%212.97%21%21%2122.28%2120.88%21%402101c44517646184329484367e5038%2112000035351804949%21sea%21US%21747277411%21X%211%210%21n_tag%3A-29919%3Bd%3Aab21f4a7%3Bm03_new_user%3A-29895&amp;curPageLogUid=xL4qqrG5PEyM&amp;utparam-url=scene%3Asearch%7Cquery_from%3A%7Cx_object_id%3A1005003302861259%7C_p_origin_prod%3A" TargetMode="External"/><Relationship Id="rId48" Type="http://schemas.openxmlformats.org/officeDocument/2006/relationships/hyperlink" Target="https://www.amazon.com/dp/B07YWBXVND?ref_=ppx_hzsearch_conn_dt_b_fed_asin_title_2&amp;th=1" TargetMode="External"/><Relationship Id="rId47" Type="http://schemas.openxmlformats.org/officeDocument/2006/relationships/hyperlink" Target="https://www.aliexpress.us/item/3256807913795917.html?spm=a2g0o.productlist.main.7.28c72b46qYZ2g1&amp;algo_pvid=56bdb0b9-4801-41fc-929e-705e60f848d3&amp;algo_exp_id=56bdb0b9-4801-41fc-929e-705e60f848d3-6&amp;pdp_ext_f=%7B%22order%22%3A%22261%22%2C%22eval%22%3A%221%22%2C%22fromPage%22%3A%22search%22%7D&amp;pdp_npi=6%40dis%21USD%214.59%214.33%21%21%2132.23%2130.40%21%40210311cc17649714919111469e068a%2112000043743456015%21sea%21US%21747277411%21X%211%210%21n_tag%3A-29919%3Bd%3Aab21f4a7%3Bm03_new_user%3A-29895&amp;curPageLogUid=2KA0dfwCmOtA&amp;utparam-url=scene%3Asearch%7Cquery_from%3A%7Cx_object_id%3A1005008100110669%7C_p_origin_prod%3A" TargetMode="External"/><Relationship Id="rId49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Relationship Id="rId5" Type="http://schemas.openxmlformats.org/officeDocument/2006/relationships/hyperlink" Target="https://www.alibaba.com/product-detail/TSL2591-Digital-Light-Sensor-Breakout-Module_1601221697469.html?spm=a2700.galleryofferlist.normal_offer.d_title.454113a0p2WtNN&amp;priceId=1204ae311b9d4177a32bed3a3f9af1b0" TargetMode="External"/><Relationship Id="rId6" Type="http://schemas.openxmlformats.org/officeDocument/2006/relationships/hyperlink" Target="https://www.adafruit.com/product/2717" TargetMode="External"/><Relationship Id="rId7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8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31" Type="http://schemas.openxmlformats.org/officeDocument/2006/relationships/hyperlink" Target="https://www.aliexpress.us/item/3256807463903641.html?spm=a2g0o.productlist.main.22.3adb2ef2Ts6kxo&amp;algo_pvid=3563170c-b7c9-4d8f-9f66-7bc7fc022c29&amp;algo_exp_id=3563170c-b7c9-4d8f-9f66-7bc7fc022c29-21&amp;pdp_ext_f=%7B%22order%22%3A%2216%22%2C%22eval%22%3A%221%22%2C%22fromPage%22%3A%22search%22%7D&amp;pdp_npi=6%40dis%21USD%218.74%215.68%21%21%2161.41%2139.92%21%4021033d1217649691300721760e2784%2112000041651551254%21sea%21US%21747277411%21X%211%210%21n_tag%3A-29919%3Bd%3Aab21f4a7%3Bm03_new_user%3A-29895&amp;curPageLogUid=STi7P96EXRlY&amp;utparam-url=scene%3Asearch%7Cquery_from%3A%7Cx_object_id%3A1005007650218393%7C_p_origin_prod%3A" TargetMode="External"/><Relationship Id="rId30" Type="http://schemas.openxmlformats.org/officeDocument/2006/relationships/hyperlink" Target="https://www.aliexpress.us/item/3256808697007607.html?spm=a2g0o.productlist.main.3.28a47c79j6IJaT&amp;algo_pvid=24dd33cc-af44-483f-9005-8d680118d8ab&amp;algo_exp_id=24dd33cc-af44-483f-9005-8d680118d8ab-2&amp;pdp_ext_f=%7B%22order%22%3A%22102%22%2C%22eval%22%3A%221%22%2C%22fromPage%22%3A%22search%22%7D&amp;pdp_npi=6%40dis%21USD%213.18%212.38%21%21%2122.35%2116.76%21%40210325a917649690688323567e2f4a%2112000047075772143%21sea%21US%21747277411%21X%211%210%21n_tag%3A-29919%3Bd%3Aab21f4a7%3Bm03_new_user%3A-29895&amp;curPageLogUid=drx6CjwDRf4p&amp;utparam-url=scene%3Asearch%7Cquery_from%3A%7Cx_object_id%3A1005008883322359%7C_p_origin_prod%3A" TargetMode="External"/><Relationship Id="rId33" Type="http://schemas.openxmlformats.org/officeDocument/2006/relationships/hyperlink" Target="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" TargetMode="External"/><Relationship Id="rId32" Type="http://schemas.openxmlformats.org/officeDocument/2006/relationships/hyperlink" Target="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" TargetMode="External"/><Relationship Id="rId35" Type="http://schemas.openxmlformats.org/officeDocument/2006/relationships/hyperlink" Target="https://www.aliexpress.us/item/3256807383526945.html?spm=a2g0o.productlist.main.23.55d69Ihf9IhfBc&amp;algo_pvid=84cf6a6d-a99d-48c9-bb7a-deaba1877756&amp;algo_exp_id=84cf6a6d-a99d-48c9-bb7a-deaba1877756-22&amp;pdp_ext_f=%7B%22order%22%3A%221842%22%2C%22eval%22%3A%221%22%2C%22fromPage%22%3A%22search%22%7D&amp;pdp_npi=6%40dis%21USD%211.04%211.03%21%21%211.04%211.03%21%402101e2b417649696165324905eaf47%2112000041441724073%21sea%21US%21747277411%21X%211%210%21n_tag%3A-29919%3Bd%3Aab21f4a7%3Bm03_new_user%3A-29895&amp;curPageLogUid=kdMGiPZ6hEm8&amp;utparam-url=scene%3Asearch%7Cquery_from%3A%7Cx_object_id%3A1005007569841697%7C_p_origin_prod%3A" TargetMode="External"/><Relationship Id="rId34" Type="http://schemas.openxmlformats.org/officeDocument/2006/relationships/hyperlink" Target="https://www.aliexpress.us/item/3256809164675006.html?spm=a2g0o.productlist.main.5.55d69Ihf9IhfBc&amp;algo_pvid=84cf6a6d-a99d-48c9-bb7a-deaba1877756&amp;algo_exp_id=84cf6a6d-a99d-48c9-bb7a-deaba1877756-4&amp;pdp_ext_f=%7B%22order%22%3A%22937%22%2C%22eval%22%3A%221%22%2C%22orig_sl_item_id%22%3A%221005009350989758%22%2C%22orig_item_id%22%3A%221005009370767269%22%2C%22fromPage%22%3A%22search%22%7D&amp;pdp_npi=6%40dis%21USD%213.93%211.97%21%21%2127.60%2113.80%21%402101e2b417649696165324905eaf47%2112000048841055747%21sea%21US%21747277411%21X%211%210%21n_tag%3A-29919%3Bd%3Aab21f4a7%3Bm03_new_user%3A-29895&amp;curPageLogUid=NwdbH9P0lvf9&amp;utparam-url=scene%3Asearch%7Cquery_from%3A%7Cx_object_id%3A1005009350989758%7C_p_origin_prod%3A1005009370767269" TargetMode="External"/><Relationship Id="rId37" Type="http://schemas.openxmlformats.org/officeDocument/2006/relationships/hyperlink" Target="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" TargetMode="External"/><Relationship Id="rId36" Type="http://schemas.openxmlformats.org/officeDocument/2006/relationships/hyperlink" Target="https://www.aliexpress.us/item/3256805359306528.html?spm=a2g0o.productlist.main.2.1a403306vBZjHU&amp;algo_pvid=73f02e13-6f4b-4626-b43b-a2fefdb3a101&amp;algo_exp_id=73f02e13-6f4b-4626-b43b-a2fefdb3a101-1&amp;pdp_ext_f=%7B%22order%22%3A%2224%22%2C%22eval%22%3A%221%22%2C%22fromPage%22%3A%22search%22%7D&amp;pdp_npi=6%40dis%21USD%211.26%211.13%21%21%218.88%217.99%21%402103128817649698710865034e8163%2112000033484039989%21sea%21US%21747277411%21X%211%210%21n_tag%3A-29919%3Bd%3Aab21f4a7%3Bm03_new_user%3A-29895&amp;curPageLogUid=xutyn0z4C155&amp;utparam-url=scene%3Asearch%7Cquery_from%3A%7Cx_object_id%3A1005005545621280%7C_p_origin_prod%3A" TargetMode="External"/><Relationship Id="rId39" Type="http://schemas.openxmlformats.org/officeDocument/2006/relationships/hyperlink" Target="https://www.aliexpress.us/item/3256806983863516.html?spm=a2g0o.productlist.main.6.519d2d9d49NtVJ&amp;algo_pvid=20445d76-64ea-4db9-814c-9df757548c9f&amp;algo_exp_id=20445d76-64ea-4db9-814c-9df757548c9f-5&amp;pdp_ext_f=%7B%22order%22%3A%2243%22%2C%22eval%22%3A%221%22%2C%22fromPage%22%3A%22search%22%7D&amp;pdp_npi=6%40dis%21USD%2111.15%2111.15%21%21%2111.15%2111.15%21%402101c59117649701531786154e588b%2112000039686174937%21sea%21US%21747277411%21X%211%210%21n_tag%3A-29919%3Bd%3Aab21f4a7%3Bm03_new_user%3A-29895&amp;curPageLogUid=6LAvoEP7xlQJ&amp;utparam-url=scene%3Asearch%7Cquery_from%3A%7Cx_object_id%3A1005007170178268%7C_p_origin_prod%3A" TargetMode="External"/><Relationship Id="rId38" Type="http://schemas.openxmlformats.org/officeDocument/2006/relationships/hyperlink" Target="https://www.aliexpress.us/item/2251832785210189.html?spm=a2g0o.productlist.main.42.76cd679bKyZvrT&amp;algo_pvid=4c213eac-d1d3-4fde-9bbd-6d86da2fcf90&amp;algo_exp_id=4c213eac-d1d3-4fde-9bbd-6d86da2fcf90-41&amp;pdp_ext_f=%7B%22order%22%3A%2212%22%2C%22eval%22%3A%221%22%2C%22fromPage%22%3A%22search%22%7D&amp;pdp_npi=6%40dis%21USD%212.92%212.89%21%21%212.92%212.89%21%402101df0e17649700732563783e8a4a%2166622759931%21sea%21US%21747277411%21X%211%210%21n_tag%3A-29919%3Bd%3Aab21f4a7%3Bm03_new_user%3A-29895&amp;curPageLogUid=zY0jLTF8NWrz&amp;utparam-url=scene%3Asearch%7Cquery_from%3A%7Cx_object_id%3A32971524941%7C_p_origin_prod%3A" TargetMode="External"/><Relationship Id="rId20" Type="http://schemas.openxmlformats.org/officeDocument/2006/relationships/hyperlink" Target="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" TargetMode="External"/><Relationship Id="rId22" Type="http://schemas.openxmlformats.org/officeDocument/2006/relationships/hyperlink" Target="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" TargetMode="External"/><Relationship Id="rId21" Type="http://schemas.openxmlformats.org/officeDocument/2006/relationships/hyperlink" Target="https://www.aliexpress.us/item/3256808088472590.html?spm=a2g0o.productlist.main.10.61044bb48N9qJI&amp;algo_pvid=82ef8283-ab99-4cf9-a08e-b16617b9f412&amp;algo_exp_id=82ef8283-ab99-4cf9-a08e-b16617b9f412-9&amp;pdp_ext_f=%7B%22order%22%3A%22122%22%2C%22eval%22%3A%221%22%2C%22fromPage%22%3A%22search%22%7D&amp;pdp_npi=6%40dis%21USD%213.68%213.68%21%21%2125.89%2125.89%21%402103126e17649163962338464e138d%2112000044448400889%21sea%21US%21747277411%21X%211%210%21n_tag%3A-29919%3Bd%3Aab21f4a7%3Bm03_new_user%3A-29895&amp;curPageLogUid=Nd4i0lxbjFsQ&amp;utparam-url=scene%3Asearch%7Cquery_from%3A%7Cx_object_id%3A1005008274787342%7C_p_origin_prod%3A" TargetMode="External"/><Relationship Id="rId24" Type="http://schemas.openxmlformats.org/officeDocument/2006/relationships/hyperlink" Target="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" TargetMode="External"/><Relationship Id="rId23" Type="http://schemas.openxmlformats.org/officeDocument/2006/relationships/hyperlink" Target="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" TargetMode="External"/><Relationship Id="rId26" Type="http://schemas.openxmlformats.org/officeDocument/2006/relationships/hyperlink" Target="https://www.aliexpress.us/item/3256803907721123.html?spm=a2g0o.productlist.main.1.4a8f5c21Q5FkJ2&amp;algo_pvid=33eb0c89-3ee4-4e59-bca6-64ef50b50217&amp;algo_exp_id=33eb0c89-3ee4-4e59-bca6-64ef50b50217-0&amp;pdp_ext_f=%7B%22order%22%3A%22716%22%2C%22eval%22%3A%221%22%2C%22fromPage%22%3A%22search%22%7D&amp;pdp_npi=6%40dis%21USD%217.17%217.17%21%21%217.17%217.17%21%402101dedf17649680763022169e395a%2112000028013096838%21sea%21US%21747277411%21X%211%210%21n_tag%3A-29919%3Bd%3Aab21f4a7%3Bm03_new_user%3A-29895&amp;curPageLogUid=memrVmdLUUmt&amp;utparam-url=scene%3Asearch%7Cquery_from%3A%7Cx_object_id%3A1005004094035875%7C_p_origin_prod%3A" TargetMode="External"/><Relationship Id="rId25" Type="http://schemas.openxmlformats.org/officeDocument/2006/relationships/hyperlink" Target="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" TargetMode="External"/><Relationship Id="rId28" Type="http://schemas.openxmlformats.org/officeDocument/2006/relationships/hyperlink" Target="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" TargetMode="External"/><Relationship Id="rId27" Type="http://schemas.openxmlformats.org/officeDocument/2006/relationships/hyperlink" Target="https://www.aliexpress.us/item/2251832793785357.html?spm=a2g0o.productlist.main.11.bdc874o274o2US&amp;algo_pvid=de12a7fc-78fb-4f73-8647-2b32aad200cd&amp;algo_exp_id=de12a7fc-78fb-4f73-8647-2b32aad200cd-10&amp;pdp_ext_f=%7B%22order%22%3A%22212%22%2C%22eval%22%3A%221%22%2C%22fromPage%22%3A%22search%22%7D&amp;pdp_npi=6%40dis%21USD%211.45%211.45%21%21%211.45%211.45%21%402103274e17649683567607759e4e8e%2112000029598809782%21sea%21US%21747277411%21X%211%210%21n_tag%3A-29919%3Bd%3Aab21f4a7%3Bm03_new_user%3A-29895&amp;curPageLogUid=0Fh3A0FxOjEa&amp;utparam-url=scene%3Asearch%7Cquery_from%3A%7Cx_object_id%3A32980100109%7C_p_origin_prod%3A" TargetMode="External"/><Relationship Id="rId29" Type="http://schemas.openxmlformats.org/officeDocument/2006/relationships/hyperlink" Target="https://www.aliexpress.us/item/2251832687071918.html?spm=a2g0o.productlist.main.39.5f1353d0CXqf4A&amp;algo_pvid=fc3623f9-40e9-4f9c-ab5a-f3ac1dbe8502&amp;algo_exp_id=fc3623f9-40e9-4f9c-ab5a-f3ac1dbe8502-38&amp;pdp_ext_f=%7B%22order%22%3A%223519%22%2C%22eval%22%3A%221%22%2C%22fromPage%22%3A%22search%22%7D&amp;pdp_npi=6%40dis%21USD%211.43%211.43%21%21%211.43%211.43%21%4021030a4b17649688537392129e153b%2165526366999%21sea%21US%21747277411%21X%211%210%21n_tag%3A-29919%3Bd%3Aab21f4a7%3Bm03_new_user%3A-29895&amp;curPageLogUid=4V8XkcMblquU&amp;utparam-url=scene%3Asearch%7Cquery_from%3A%7Cx_object_id%3A32873386670%7C_p_origin_prod%3A" TargetMode="External"/><Relationship Id="rId51" Type="http://schemas.openxmlformats.org/officeDocument/2006/relationships/hyperlink" Target="https://www.amazon.com/PTF5610K000BZBF-Resistors-Through-10Kohms-PTF-56/dp/B09G76FF29" TargetMode="External"/><Relationship Id="rId50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53" Type="http://schemas.openxmlformats.org/officeDocument/2006/relationships/hyperlink" Target="https://www.digikey.com/en/products/detail/stackpole-electronics-inc/RNF14BTE2K49/1752591" TargetMode="External"/><Relationship Id="rId52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11" Type="http://schemas.openxmlformats.org/officeDocument/2006/relationships/hyperlink" Target="https://www.amazon.com/gp/product/B07TXGD3WS/ref=ppx_yo_dt_b_search_asin_title?ie=UTF8&amp;psc=1" TargetMode="External"/><Relationship Id="rId55" Type="http://schemas.openxmlformats.org/officeDocument/2006/relationships/hyperlink" Target="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" TargetMode="External"/><Relationship Id="rId10" Type="http://schemas.openxmlformats.org/officeDocument/2006/relationships/hyperlink" Target="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" TargetMode="External"/><Relationship Id="rId54" Type="http://schemas.openxmlformats.org/officeDocument/2006/relationships/hyperlink" Target="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" TargetMode="External"/><Relationship Id="rId13" Type="http://schemas.openxmlformats.org/officeDocument/2006/relationships/hyperlink" Target="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" TargetMode="External"/><Relationship Id="rId56" Type="http://schemas.openxmlformats.org/officeDocument/2006/relationships/hyperlink" Target="https://www.alibaba.com/product-detail/5mm3mm-ultraviolet-led-high-power-epistar_1600714829021.html?spm=a2700.galleryofferlist.normal_offer.d_title.54e313a0W6dUsW&amp;priceId=866a632b90c749a088dd557264684f75" TargetMode="External"/><Relationship Id="rId15" Type="http://schemas.openxmlformats.org/officeDocument/2006/relationships/hyperlink" Target="https://www.aliexpress.us/item/3256806077264771.html?spm=a2" TargetMode="External"/><Relationship Id="rId14" Type="http://schemas.openxmlformats.org/officeDocument/2006/relationships/hyperlink" Target="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" TargetMode="External"/><Relationship Id="rId17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6" Type="http://schemas.openxmlformats.org/officeDocument/2006/relationships/hyperlink" Target="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" TargetMode="External"/><Relationship Id="rId19" Type="http://schemas.openxmlformats.org/officeDocument/2006/relationships/hyperlink" Target="https://www.aliexpress.us/item/3256806422675515.html?spm=a2g0o.productlist.main.39.6ceb6c10UQ7sWW&amp;utparam-url=scene%3AimageSearch%7Cquery_from%3Apc_back_same_best%7Cx_object_id%3A1005006608990267%7C_p_origin_prod%3A&amp;algo_pvid=bcc55953-63de-46b1-aace-2dabab5b5f9e&amp;algo_exp_id=bcc55953-63de-46b1-aace-2dabab5b5f9e&amp;pdp_ext_f=%7B%22order%22%3A%22250%22%2C%22fromPage%22%3A%22search%22%7D&amp;pdp_npi=6%40dis%21USD%215.00%215.00%21%21%2135.16%2135.16%21%402101d9ef17649160354633506e55d3%2112000037811339107%21sea%21US%21747277411%21X%211%210%21n_tag%3A-29919%3Bd%3Aab21f4a7%3Bm03_new_user%3A-29895&amp;gatewayAdapt=4itemAdapt" TargetMode="External"/><Relationship Id="rId18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" TargetMode="External"/><Relationship Id="rId2" Type="http://schemas.openxmlformats.org/officeDocument/2006/relationships/hyperlink" Target="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" TargetMode="External"/><Relationship Id="rId3" Type="http://schemas.openxmlformats.org/officeDocument/2006/relationships/hyperlink" Target="https://www.alibaba.com/product-detail/TLC5947-module-12-Bit-24-Channel_62586041214.html?spm=a2700.galleryofferlist.normal_offer.d_title.3fb413a0GBOiNw&amp;priceId=47e17c71cdde4774b84ecf4fa5e1e2d3" TargetMode="External"/><Relationship Id="rId4" Type="http://schemas.openxmlformats.org/officeDocument/2006/relationships/hyperlink" Target="https://www.adafruit.com/product/2717" TargetMode="External"/><Relationship Id="rId9" Type="http://schemas.openxmlformats.org/officeDocument/2006/relationships/hyperlink" Target="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" TargetMode="External"/><Relationship Id="rId5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6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7" Type="http://schemas.openxmlformats.org/officeDocument/2006/relationships/hyperlink" Target="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" TargetMode="External"/><Relationship Id="rId8" Type="http://schemas.openxmlformats.org/officeDocument/2006/relationships/hyperlink" Target="https://www.amazon.com/gp/product/B07TXGD3WS/ref=ppx_yo_dt_b_search_asin_title?ie=UTF8&amp;psc=1" TargetMode="External"/><Relationship Id="rId31" Type="http://schemas.openxmlformats.org/officeDocument/2006/relationships/hyperlink" Target="https://www.amazon.com/PTF5610K000BZBF-Resistors-Through-10Kohms-PTF-56/dp/B09G76FF29" TargetMode="External"/><Relationship Id="rId30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33" Type="http://schemas.openxmlformats.org/officeDocument/2006/relationships/hyperlink" Target="https://www.digikey.com/en/products/detail/stackpole-electronics-inc/RNF14BTE2K49/1752591" TargetMode="External"/><Relationship Id="rId32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35" Type="http://schemas.openxmlformats.org/officeDocument/2006/relationships/hyperlink" Target="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" TargetMode="External"/><Relationship Id="rId34" Type="http://schemas.openxmlformats.org/officeDocument/2006/relationships/hyperlink" Target="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" TargetMode="External"/><Relationship Id="rId37" Type="http://schemas.openxmlformats.org/officeDocument/2006/relationships/hyperlink" Target="https://www.aliexpress.us/item/3256805821013496.html?src=google&amp;pdp_npi=4%40dis%21USD%210.95%210.86%21%21%21%21%21%40%2112000035298766573%21ppc%21%21%21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3256805821013496&amp;ds_e_product_merchant_id=109329369&amp;ds_e_product_country=US&amp;ds_e_product_language=en&amp;ds_e_product_channel=online&amp;ds_e_product_store_id=&amp;ds_url_v=2&amp;albcp=22964387469&amp;albag=&amp;isSmbAutoCall=false&amp;needSmbHouyi=false&amp;gad_source=1&amp;gad_campaignid=22970612606&amp;gbraid=0AAAABBR8kP1B8BlXYHpFzwLa1-xrd8p9E&amp;gclid=Cj0KCQiAi9rJBhCYARIsALyPDttHurt7kULbUE15m3vUp1L_59iK5xJHZ6Hasts7tH8fXVGDAgOx_rkaAhXmEALw_wcB&amp;gatewayAdapt=glo2usa" TargetMode="External"/><Relationship Id="rId36" Type="http://schemas.openxmlformats.org/officeDocument/2006/relationships/hyperlink" Target="https://www.alibaba.com/product-detail/5mm3mm-ultraviolet-led-high-power-epistar_1600714829021.html?spm=a2700.galleryofferlist.normal_offer.d_title.54e313a0W6dUsW&amp;priceId=866a632b90c749a088dd557264684f75" TargetMode="External"/><Relationship Id="rId38" Type="http://schemas.openxmlformats.org/officeDocument/2006/relationships/drawing" Target="../drawings/drawing2.xml"/><Relationship Id="rId20" Type="http://schemas.openxmlformats.org/officeDocument/2006/relationships/hyperlink" Target="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" TargetMode="External"/><Relationship Id="rId22" Type="http://schemas.openxmlformats.org/officeDocument/2006/relationships/hyperlink" Target="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" TargetMode="External"/><Relationship Id="rId21" Type="http://schemas.openxmlformats.org/officeDocument/2006/relationships/hyperlink" Target="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" TargetMode="External"/><Relationship Id="rId24" Type="http://schemas.openxmlformats.org/officeDocument/2006/relationships/hyperlink" Target="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" TargetMode="External"/><Relationship Id="rId23" Type="http://schemas.openxmlformats.org/officeDocument/2006/relationships/hyperlink" Target="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" TargetMode="External"/><Relationship Id="rId26" Type="http://schemas.openxmlformats.org/officeDocument/2006/relationships/hyperlink" Target="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" TargetMode="External"/><Relationship Id="rId25" Type="http://schemas.openxmlformats.org/officeDocument/2006/relationships/hyperlink" Target="https://www.amazon.com/dp/B07YWBXVND?ref_=ppx_hzsearch_conn_dt_b_fed_asin_title_2&amp;th=1" TargetMode="External"/><Relationship Id="rId28" Type="http://schemas.openxmlformats.org/officeDocument/2006/relationships/hyperlink" Target="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" TargetMode="External"/><Relationship Id="rId27" Type="http://schemas.openxmlformats.org/officeDocument/2006/relationships/hyperlink" Target="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" TargetMode="External"/><Relationship Id="rId29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Relationship Id="rId11" Type="http://schemas.openxmlformats.org/officeDocument/2006/relationships/hyperlink" Target="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" TargetMode="External"/><Relationship Id="rId10" Type="http://schemas.openxmlformats.org/officeDocument/2006/relationships/hyperlink" Target="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" TargetMode="External"/><Relationship Id="rId13" Type="http://schemas.openxmlformats.org/officeDocument/2006/relationships/hyperlink" Target="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" TargetMode="External"/><Relationship Id="rId12" Type="http://schemas.openxmlformats.org/officeDocument/2006/relationships/hyperlink" Target="https://www.aliexpress.us/item/3256806077264771.html?spm=a2" TargetMode="External"/><Relationship Id="rId15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4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7" Type="http://schemas.openxmlformats.org/officeDocument/2006/relationships/hyperlink" Target="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" TargetMode="External"/><Relationship Id="rId16" Type="http://schemas.openxmlformats.org/officeDocument/2006/relationships/hyperlink" Target="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" TargetMode="External"/><Relationship Id="rId19" Type="http://schemas.openxmlformats.org/officeDocument/2006/relationships/hyperlink" Target="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" TargetMode="External"/><Relationship Id="rId18" Type="http://schemas.openxmlformats.org/officeDocument/2006/relationships/hyperlink" Target="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5-5x2-1mm-Converter-Transformer-Surveillance-External/dp/B07GFFG1BQ?pd_rd_w=cjYOJ&amp;content-id=amzn1.sym.ea1d9533-fbb7-4608-bb6f-bfdceb6f6336&amp;pf_rd_p=ea1d9533-fbb7-4608-bb6f-bfdceb6f6336&amp;pf_rd_r=N0ETXGY2W2MYVXFMP94N&amp;pd_rd_wg=LpEZf&amp;pd_rd_r=0fc31574-33a7-494d-9c7d-2a7a7a827932&amp;ref_=sspa_dk_detail_sbt_0&amp;sp_csd=d2lkZ2V0TmFtZT1zcF9kZXRhaWxfdGhlbWF0aWM&amp;th=1" TargetMode="External"/><Relationship Id="rId42" Type="http://schemas.openxmlformats.org/officeDocument/2006/relationships/hyperlink" Target="https://www.amazon.com/gp/product/B08NSKSS1R/ref=ppx_yo_dt_b_asin_title_o06_s00?ie=UTF8&amp;th=1" TargetMode="External"/><Relationship Id="rId41" Type="http://schemas.openxmlformats.org/officeDocument/2006/relationships/hyperlink" Target="https://www.amazon.com/Black-Square-Adhesive-Rubber-Bumper/dp/B07WDDB7SD/ref=sr_1_26_sspa?crid=2XDE462P2Y3AH&amp;keywords=rubber+feet+square+large&amp;qid=1665299061&amp;qu=eyJxc2MiOiIwLjAwIiwicXNhIjoiMC4wMCIsInFzcCI6IjAuMDAifQ%3D%3D&amp;s=home-garden&amp;sprefix=rubber+feet+square+larg%2Cgarden%2C91&amp;sr=1-26-spons&amp;psc=1&amp;spLa=ZW5jcnlwdGVkUXVhbGlmaWVyPUFQRUlLMFI4UzFOOFAmZW5jcnlwdGVkSWQ9QTA4NjI3MjQySkE3VFZTSk9CRVQzJmVuY3J5cHRlZEFkSWQ9QTA0MDUzODMyWjRaSUhZUVRVTEgyJndpZGdldE5hbWU9c3BfYXRmX25leHQmYWN0aW9uPWNsaWNrUmVkaXJlY3QmZG9Ob3RMb2dDbGljaz10cnVl" TargetMode="External"/><Relationship Id="rId44" Type="http://schemas.openxmlformats.org/officeDocument/2006/relationships/hyperlink" Target="https://www.amazon.com/gp/product/B07V4GGPW3/ref=ppx_yo_dt_b_asin_title_o06_s00?ie=UTF8&amp;psc=1" TargetMode="External"/><Relationship Id="rId43" Type="http://schemas.openxmlformats.org/officeDocument/2006/relationships/hyperlink" Target="https://www.amazon.com/dp/B07YWBXVND?ref_=ppx_hzsearch_conn_dt_b_fed_asin_title_2&amp;th=1" TargetMode="External"/><Relationship Id="rId46" Type="http://schemas.openxmlformats.org/officeDocument/2006/relationships/hyperlink" Target="https://www.amazon.com/gp/product/B000H5Y6CQ/ref=ppx_yo_dt_b_asin_title_o06_s00?ie=UTF8&amp;psc=1" TargetMode="External"/><Relationship Id="rId45" Type="http://schemas.openxmlformats.org/officeDocument/2006/relationships/hyperlink" Target="https://www.amazon.com/gp/product/B07BJ2P6X6/ref=ppx_yo_dt_b_asin_title_o04_s00?ie=UTF8&amp;psc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dafruit.com/product/1438" TargetMode="External"/><Relationship Id="rId3" Type="http://schemas.openxmlformats.org/officeDocument/2006/relationships/hyperlink" Target="https://www.adafruit.com/product/5188" TargetMode="External"/><Relationship Id="rId4" Type="http://schemas.openxmlformats.org/officeDocument/2006/relationships/hyperlink" Target="https://www.adafruit.com/product/1429" TargetMode="External"/><Relationship Id="rId9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48" Type="http://schemas.openxmlformats.org/officeDocument/2006/relationships/hyperlink" Target="http://amazon.com/dp/B0D8PDLLH6/ref=sspa_dk_detail_5?psc=1&amp;pd_rd_i=B0D8PDLLH6&amp;pd_rd_w=LtmgP&amp;content-id=amzn1.sym.386c274b-4bfe-4421-9052-a1a56db557ab&amp;pf_rd_p=386c274b-4bfe-4421-9052-a1a56db557ab&amp;pf_rd_r=KW9QR1WZXXNQQVJBXP57&amp;pd_rd_wg=dbPcM&amp;pd_rd_r=772af462-d346-4726-a709-01cc1ce73061&amp;sp_csd=d2lkZ2V0TmFtZT1zcF9kZXRhaWxfdGhlbWF0aWM" TargetMode="External"/><Relationship Id="rId47" Type="http://schemas.openxmlformats.org/officeDocument/2006/relationships/hyperlink" Target="https://www.amazon.com/gp/product/B0881HCN37/ref=ppx_yo_dt_b_search_asin_title?ie=UTF8&amp;psc=1" TargetMode="External"/><Relationship Id="rId49" Type="http://schemas.openxmlformats.org/officeDocument/2006/relationships/hyperlink" Target="https://www.amazon.com/TBBSC-Solder-Sn99-3-Electrical-Soldering/dp/B08Y5769ZF/ref=sr_1_2_sspa?crid=2LVG8IM0AT7KJ&amp;keywords=lead-free+solder&amp;qid=1665448663&amp;qu=eyJxc2MiOiI0LjE2IiwicXNhIjoiMy45NyIsInFzcCI6IjMuODYifQ%3D%3D&amp;sprefix=lead-free+solder%2Caps%2C75&amp;sr=8-2-spons&amp;psc=1&amp;spLa=ZW5jcnlwdGVkUXVhbGlmaWVyPUEzMTU2RkNWR045VEdLJmVuY3J5cHRlZElkPUEwODk1NzUwMTJXTzA1VlJWSjBQSyZlbmNyeXB0ZWRBZElkPUEwNzM4MzY2MzlGSzZIREdFUkJCSiZ3aWRnZXROYW1lPXNwX2F0ZiZhY3Rpb249Y2xpY2tSZWRpcmVjdCZkb05vdExvZ0NsaWNrPXRydWU=" TargetMode="External"/><Relationship Id="rId5" Type="http://schemas.openxmlformats.org/officeDocument/2006/relationships/hyperlink" Target="https://www.adafruit.com/product/3190" TargetMode="External"/><Relationship Id="rId6" Type="http://schemas.openxmlformats.org/officeDocument/2006/relationships/hyperlink" Target="https://www.adafruit.com/product/1980" TargetMode="External"/><Relationship Id="rId7" Type="http://schemas.openxmlformats.org/officeDocument/2006/relationships/hyperlink" Target="https://www.adafruit.com/product/2717" TargetMode="External"/><Relationship Id="rId8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31" Type="http://schemas.openxmlformats.org/officeDocument/2006/relationships/hyperlink" Target="https://www.amazon.com/gp/product/B07VNSXY31/ref=ppx_yo_dt_b_asin_title_o03_s00?ie=UTF8&amp;psc=1" TargetMode="External"/><Relationship Id="rId30" Type="http://schemas.openxmlformats.org/officeDocument/2006/relationships/hyperlink" Target="https://www.amazon.com/gp/product/B07VNDFYNQ/ref=ppx_yo_dt_b_search_asin_title?ie=UTF8&amp;psc=1" TargetMode="External"/><Relationship Id="rId33" Type="http://schemas.openxmlformats.org/officeDocument/2006/relationships/hyperlink" Target="https://www.amazon.com/dp/B085T8LXJ4/ref=sspa_dk_detail_4?pd_rd_i=B085T8LXJ4&amp;pd_rd_w=iFNBl&amp;content-id=amzn1.sym.386c274b-4bfe-4421-9052-a1a56db557ab&amp;pf_rd_p=386c274b-4bfe-4421-9052-a1a56db557ab&amp;pf_rd_r=11S34WB0TDGGY0KPY2GZ&amp;pd_rd_wg=0VneH&amp;pd_rd_r=1a37e536-0be1-4723-be76-01994b5c245b&amp;sp_csd=d2lkZ2V0TmFtZT1zcF9kZXRhaWxfdGhlbWF0aWM&amp;th=1" TargetMode="External"/><Relationship Id="rId32" Type="http://schemas.openxmlformats.org/officeDocument/2006/relationships/hyperlink" Target="https://www.amazon.com/gp/product/B01N2U8PK0/ref=ppx_yo_dt_b_asin_title_o00_s00?ie=UTF8&amp;psc=1" TargetMode="External"/><Relationship Id="rId35" Type="http://schemas.openxmlformats.org/officeDocument/2006/relationships/hyperlink" Target="http://amazon.com/Controller-H-Bridge-Stepper-Control-Mega2560/dp/B07WS89781/ref=sr_1_26?+crid=3RIIPSRTJHLMQ&amp;keywords=LM%2Bmotor%2Bcontroller&amp;qid=1665298448&amp;qu=eyJxc2MiOiIyLjYxIiwicXNhIjoiMC4wMCIsInFzcCI6IjAuMDAifQ%3D%3D&amp;sprefix=lm%2Bmotor%2Bcontrolle%2Caps%2C85&amp;sr=8-26&amp;th=1" TargetMode="External"/><Relationship Id="rId34" Type="http://schemas.openxmlformats.org/officeDocument/2006/relationships/hyperlink" Target="https://www.amazon.com/gp/product/B07V6TRT4B/ref=ppx_yo_dt_b_asin_title_o01_s00?ie=UTF8&amp;psc=1" TargetMode="External"/><Relationship Id="rId37" Type="http://schemas.openxmlformats.org/officeDocument/2006/relationships/hyperlink" Target="https://www.amazon.com/gp/product/B07PKKY8BX/ref=ppx_yo_dt_b_search_asin_title?ie=UTF8&amp;psc=1" TargetMode="External"/><Relationship Id="rId36" Type="http://schemas.openxmlformats.org/officeDocument/2006/relationships/hyperlink" Target="https://www.amazon.com/gp/product/B076GZXW3Z/ref=ppx_yo_dt_b_search_asin_title?ie=UTF8&amp;psc=1" TargetMode="External"/><Relationship Id="rId39" Type="http://schemas.openxmlformats.org/officeDocument/2006/relationships/hyperlink" Target="https://www.amazon.com/100PCS-2-54mm-Standard-Circuit-Connection/dp/B09V1NJXY9/ref=sr_1_9?crid=13X9HT26O6YDX&amp;keywords=2.54mm+jumper&amp;qid=1665298748&amp;qu=eyJxc2MiOiIzLjg4IiwicXNhIjoiMy4yMyIsInFzcCI6IjMuMDQifQ%3D%3D&amp;s=electronics&amp;sprefix=2.54mm+jumper%2Celectronics%2C82&amp;sr=1-9" TargetMode="External"/><Relationship Id="rId38" Type="http://schemas.openxmlformats.org/officeDocument/2006/relationships/hyperlink" Target="https://www.amazon.com/Uxcell-a15062500ux0349-Single-40-pin-Breadboard/dp/B01461DQ6S/ref=sr_1_3?crid=ZWIZ3LC1ID5X&amp;keywords=2.54mm+male+header+right+angle&amp;qid=1665298688&amp;qu=eyJxc2MiOiIxLjg4IiwicXNhIjoiMC4wMCIsInFzcCI6IjAuMDAifQ%3D%3D&amp;s=electronics&amp;sprefix=2.54mm+male+header+right+angle%2Celectronics%2C98&amp;sr=1-3" TargetMode="External"/><Relationship Id="rId20" Type="http://schemas.openxmlformats.org/officeDocument/2006/relationships/hyperlink" Target="https://www.amazon.com/gp/product/B08F1W3ZXW/ref=ppx_yo_dt_b_asin_title_o02_s00?ie=UTF8&amp;psc=1" TargetMode="External"/><Relationship Id="rId22" Type="http://schemas.openxmlformats.org/officeDocument/2006/relationships/hyperlink" Target="https://www.amazon.com/Dispensing-Industrial-Syringe-Needles-Applicator/dp/B08ZKLBG82/ref=pd_sbs_d_sccl_2_1/139-2241587-3734034?pd_rd_w=JojQw&amp;content-id=amzn1.sym.2cd14f8d-eb5c-4042-b934-4a05eafd2874&amp;pf_rd_p=2cd14f8d-eb5c-4042-b934-4a05eafd2874&amp;pf_rd_r=MHDVP0HRKB56Y3VEH0JG&amp;pd_rd_wg=Nm0jn&amp;pd_rd_r=0c157ae5-d750-4983-8339-b37c4ddca878&amp;pd_rd_i=B08ZKLBG82&amp;th=1" TargetMode="External"/><Relationship Id="rId21" Type="http://schemas.openxmlformats.org/officeDocument/2006/relationships/hyperlink" Target="https://www.amazon.com/dp/B083GM48C1/ref=sspa_dk_detail_6?pd_rd_w=stg9X&amp;content-id=amzn1.sym.f2f1cf8f-cab4-44dc-82ba-0ca811fb90cc&amp;pf_rd_p=f2f1cf8f-cab4-44dc-82ba-0ca811fb90cc&amp;pf_rd_r=G9XCJ1KGPSKWZJ0EYXN1&amp;pd_rd_wg=zILAq&amp;pd_rd_r=f6110089-95c0-4d2d-9c0f-2a2b4f020396&amp;sp_csd=d2lkZ2V0TmFtZT1zcF9kZXRhaWxfdGhlbWF0aWM&amp;th=1" TargetMode="External"/><Relationship Id="rId24" Type="http://schemas.openxmlformats.org/officeDocument/2006/relationships/hyperlink" Target="https://www.amazon.com/PATIKIL-Dispensing-Industrial-Dispenser-Refilling/dp/B0D54JTHYT/ref=sr_1_4?dib=eyJ2IjoiMSJ9.z_uH2blDozmOe-tOq-3VspMRzT8cLdd8GpzaNPz6X24YMn4yIAc5R_V-oWbFX-VSVIXoiDuzgDYs92q1yA5RjwlucD74IJyb_T1P3IftUZzEjg5cPavq6POU4iKq0AydF5rQh3b4B9uOKkjMtLeg6vt05Pe8d_FKaJB4Y3qdfswyqZpRLARz0TStgW1luT_AVbQ5_GwO5QDsEk7Tk6MQQQfrVCrwuuuDqa-GSRb_r4o.bJMdf96NmJ3ZsG5NoEap4riiv4H_ytv_o9_RqPTxB8k&amp;dib_tag=se&amp;keywords=Dispensing%2BNeedles%2B1.5inch&amp;qid=1764012867&amp;sr=8-4&amp;th=1" TargetMode="External"/><Relationship Id="rId23" Type="http://schemas.openxmlformats.org/officeDocument/2006/relationships/hyperlink" Target="https://www.amazon.com/dp/B07994JBVM?ref_=ppx_hzsearch_conn_dt_b_fed_asin_title_2&amp;th=1" TargetMode="External"/><Relationship Id="rId26" Type="http://schemas.openxmlformats.org/officeDocument/2006/relationships/hyperlink" Target="https://www.walmart.com/ip/90ml-Transparent-Borosilicate-Glass-Bottle-With-Cork-90ml-Breakable-Glass-Bottle-Prop-Gift-Jars-Crafts-6pcs-37x120x27mm/2420888170" TargetMode="External"/><Relationship Id="rId25" Type="http://schemas.openxmlformats.org/officeDocument/2006/relationships/hyperlink" Target="https://www.amazon.com/gp/product/B07461T2PR/ref=ppx_yo_dt_b_asin_title_o02_s03?ie=UTF8&amp;psc=1" TargetMode="External"/><Relationship Id="rId28" Type="http://schemas.openxmlformats.org/officeDocument/2006/relationships/hyperlink" Target="https://www.amazon.com/SanDisk-Ultra-SDSQUNS-016G-GN3MN-UHS-I-microSDHC/dp/B074B4P7KD/ref=sr_1_10?crid=1QV6N593159MI&amp;dib=eyJ2IjoiMSJ9.mShybhEVNc8w2w0v-Tl-XwMsGPBBMO-o61K_iC3Tjhrpq36YlE7xe4voLFDFJ0n3_HfxhsX4tRtvLG2bgxC5rSSrpqUoVV6luzLPkGkwbl39XohttjfXZ8jvxEh8E0gL3iT_o137WQUXBv3CKblwHmuUkCMmqgvJyWCCZDGhJNjFh0WVqQXa3g-VFnVHOtGak44v1aN66IerHv-KOQyh9rvG1i608_hEnX1ojAXjU3mjilrYv6bNNon30AMcp_mUx3X_hPzb13crnOZ_vayCumQNzY6l10QdMn5DVyh5BDw.BGwK6rXD_20lpKUINLYB_1W3yrkOfTDtpQRyYoh93ig&amp;dib_tag=se&amp;keywords=microsd+card&amp;qid=1763763912&amp;s=electronics&amp;sprefix=microsd+car%2Celectronics%2C172&amp;sr=1-10" TargetMode="External"/><Relationship Id="rId27" Type="http://schemas.openxmlformats.org/officeDocument/2006/relationships/hyperlink" Target="https://www.amazon.com/gp/product/B07S5ZLFDG/ref=ppx_yo_dt_b_asin_title_o02_s04?ie=UTF8&amp;psc=1" TargetMode="External"/><Relationship Id="rId29" Type="http://schemas.openxmlformats.org/officeDocument/2006/relationships/hyperlink" Target="https://www.amazon.com/gp/product/B09WJ4WF9K/ref=ppx_yo_dt_b_asin_title_o02_s00?ie=UTF8&amp;psc=1" TargetMode="External"/><Relationship Id="rId51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50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Relationship Id="rId53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52" Type="http://schemas.openxmlformats.org/officeDocument/2006/relationships/hyperlink" Target="https://www.amazon.com/PTF5610K000BZBF-Resistors-Through-10Kohms-PTF-56/dp/B09G76FF29" TargetMode="External"/><Relationship Id="rId11" Type="http://schemas.openxmlformats.org/officeDocument/2006/relationships/hyperlink" Target="https://www.amazon.com/gp/product/B07F24Y1TB/ref=ppx_yo_dt_b_asin_title_o01_s00?ie=UTF8&amp;psc=1" TargetMode="External"/><Relationship Id="rId55" Type="http://schemas.openxmlformats.org/officeDocument/2006/relationships/hyperlink" Target="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" TargetMode="External"/><Relationship Id="rId10" Type="http://schemas.openxmlformats.org/officeDocument/2006/relationships/hyperlink" Target="https://www.aliexpress.us/item/3256809286779220.html" TargetMode="External"/><Relationship Id="rId54" Type="http://schemas.openxmlformats.org/officeDocument/2006/relationships/hyperlink" Target="https://www.digikey.com/en/products/detail/stackpole-electronics-inc/RNF14BTE2K49/1752591" TargetMode="External"/><Relationship Id="rId13" Type="http://schemas.openxmlformats.org/officeDocument/2006/relationships/hyperlink" Target="https://www.amazon.com/gp/product/B07TXGD3WS/ref=ppx_yo_dt_b_search_asin_title?ie=UTF8&amp;psc=1" TargetMode="External"/><Relationship Id="rId57" Type="http://schemas.openxmlformats.org/officeDocument/2006/relationships/hyperlink" Target="https://www.alibaba.com/product-detail/5mm3mm-ultraviolet-led-high-power-epistar_1600714829021.html?spm=a2700.galleryofferlist.normal_offer.d_title.54e313a0W6dUsW&amp;priceId=866a632b90c749a088dd557264684f75" TargetMode="External"/><Relationship Id="rId12" Type="http://schemas.openxmlformats.org/officeDocument/2006/relationships/hyperlink" Target="https://www.amazon.com/gp/product/B082ZPCP7X/ref=ppx_yo_dt_b_asin_title_o00_s00?ie=UTF8&amp;psc=1" TargetMode="External"/><Relationship Id="rId56" Type="http://schemas.openxmlformats.org/officeDocument/2006/relationships/hyperlink" Target="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" TargetMode="External"/><Relationship Id="rId15" Type="http://schemas.openxmlformats.org/officeDocument/2006/relationships/hyperlink" Target="https://www.amazon.com/gp/product/B01H4ZDYCE/ref=ppx_yo_dt_b_asin_title_o03_s01?ie=UTF8&amp;psc=1" TargetMode="External"/><Relationship Id="rId59" Type="http://schemas.openxmlformats.org/officeDocument/2006/relationships/vmlDrawing" Target="../drawings/vmlDrawing1.vml"/><Relationship Id="rId14" Type="http://schemas.openxmlformats.org/officeDocument/2006/relationships/hyperlink" Target="https://www.amazon.com/gp/product/B089S2QDHD/ref=ppx_yo_dt_b_asin_title_o06_s00?ie=UTF8&amp;psc=1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www.amazon.com/gp/product/B09WDMYTLX/ref=ppx_yo_dt_b_asin_title_o01_s00?ie=UTF8&amp;psc=1" TargetMode="External"/><Relationship Id="rId16" Type="http://schemas.openxmlformats.org/officeDocument/2006/relationships/hyperlink" Target="https://www.amazon.com/gp/product/B08NXCTNP8/ref=ppx_yo_dt_b_asin_title_o03_s02?ie=UTF8&amp;psc=1" TargetMode="External"/><Relationship Id="rId19" Type="http://schemas.openxmlformats.org/officeDocument/2006/relationships/hyperlink" Target="https://www.amazon.com/gp/product/B094J4GWLR/ref=ppx_yo_dt_b_asin_title_o01_s01?ie=UTF8&amp;psc=1" TargetMode="External"/><Relationship Id="rId18" Type="http://schemas.openxmlformats.org/officeDocument/2006/relationships/hyperlink" Target="https://www.amazon.com/gp/product/B09WDMB3QD/ref=ppx_yo_dt_b_asin_title_o01_s00?ie=UTF8&amp;psc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1438" TargetMode="External"/><Relationship Id="rId2" Type="http://schemas.openxmlformats.org/officeDocument/2006/relationships/hyperlink" Target="https://www.adafruit.com/product/5188" TargetMode="External"/><Relationship Id="rId3" Type="http://schemas.openxmlformats.org/officeDocument/2006/relationships/hyperlink" Target="https://www.adafruit.com/product/1429" TargetMode="External"/><Relationship Id="rId4" Type="http://schemas.openxmlformats.org/officeDocument/2006/relationships/hyperlink" Target="https://www.adafruit.com/product/3190" TargetMode="External"/><Relationship Id="rId9" Type="http://schemas.openxmlformats.org/officeDocument/2006/relationships/hyperlink" Target="https://www.amazon.com/gp/product/B082ZPCP7X/ref=ppx_yo_dt_b_asin_title_o00_s00?ie=UTF8&amp;psc=1" TargetMode="External"/><Relationship Id="rId5" Type="http://schemas.openxmlformats.org/officeDocument/2006/relationships/hyperlink" Target="https://www.adafruit.com/product/1980" TargetMode="External"/><Relationship Id="rId6" Type="http://schemas.openxmlformats.org/officeDocument/2006/relationships/hyperlink" Target="https://www.adafruit.com/product/2717" TargetMode="External"/><Relationship Id="rId7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8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20" Type="http://schemas.openxmlformats.org/officeDocument/2006/relationships/hyperlink" Target="https://www.amazon.com/PTF5610K000BZBF-Resistors-Through-10Kohms-PTF-56/dp/B09G76FF29" TargetMode="External"/><Relationship Id="rId22" Type="http://schemas.openxmlformats.org/officeDocument/2006/relationships/hyperlink" Target="https://www.digikey.com/en/products/detail/stackpole-electronics-inc/RNF14BTE2K49/1752591" TargetMode="External"/><Relationship Id="rId21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https://www.amazon.com/gp/product/B01H4ZDYCE/ref=ppx_yo_dt_b_asin_title_o03_s01?ie=UTF8&amp;psc=1" TargetMode="External"/><Relationship Id="rId10" Type="http://schemas.openxmlformats.org/officeDocument/2006/relationships/hyperlink" Target="https://www.amazon.com/gp/product/B07TXGD3WS/ref=ppx_yo_dt_b_search_asin_title?ie=UTF8&amp;psc=1" TargetMode="External"/><Relationship Id="rId13" Type="http://schemas.openxmlformats.org/officeDocument/2006/relationships/hyperlink" Target="https://www.amazon.com/gp/product/B07V6TRT4B/ref=ppx_yo_dt_b_asin_title_o01_s00?ie=UTF8&amp;psc=1" TargetMode="External"/><Relationship Id="rId12" Type="http://schemas.openxmlformats.org/officeDocument/2006/relationships/hyperlink" Target="https://www.amazon.com/SanDisk-Ultra-SDSQUNS-016G-GN3MN-UHS-I-microSDHC/dp/B074B4P7KD/ref=sr_1_10?crid=1QV6N593159MI&amp;dib=eyJ2IjoiMSJ9.mShybhEVNc8w2w0v-Tl-XwMsGPBBMO-o61K_iC3Tjhrpq36YlE7xe4voLFDFJ0n3_HfxhsX4tRtvLG2bgxC5rSSrpqUoVV6luzLPkGkwbl39XohttjfXZ8jvxEh8E0gL3iT_o137WQUXBv3CKblwHmuUkCMmqgvJyWCCZDGhJNjFh0WVqQXa3g-VFnVHOtGak44v1aN66IerHv-KOQyh9rvG1i608_hEnX1ojAXjU3mjilrYv6bNNon30AMcp_mUx3X_hPzb13crnOZ_vayCumQNzY6l10QdMn5DVyh5BDw.BGwK6rXD_20lpKUINLYB_1W3yrkOfTDtpQRyYoh93ig&amp;dib_tag=se&amp;keywords=microsd+card&amp;qid=1763763912&amp;s=electronics&amp;sprefix=microsd+car%2Celectronics%2C172&amp;sr=1-10" TargetMode="External"/><Relationship Id="rId15" Type="http://schemas.openxmlformats.org/officeDocument/2006/relationships/hyperlink" Target="https://www.amazon.com/5-5x2-1mm-Converter-Transformer-Surveillance-External/dp/B07GFFG1BQ?pd_rd_w=cjYOJ&amp;content-id=amzn1.sym.ea1d9533-fbb7-4608-bb6f-bfdceb6f6336&amp;pf_rd_p=ea1d9533-fbb7-4608-bb6f-bfdceb6f6336&amp;pf_rd_r=N0ETXGY2W2MYVXFMP94N&amp;pd_rd_wg=LpEZf&amp;pd_rd_r=0fc31574-33a7-494d-9c7d-2a7a7a827932&amp;ref_=sspa_dk_detail_sbt_0&amp;sp_csd=d2lkZ2V0TmFtZT1zcF9kZXRhaWxfdGhlbWF0aWM&amp;th=1" TargetMode="External"/><Relationship Id="rId14" Type="http://schemas.openxmlformats.org/officeDocument/2006/relationships/hyperlink" Target="https://www.amazon.com/gp/product/B076GZXW3Z/ref=ppx_yo_dt_b_search_asin_title?ie=UTF8&amp;psc=1" TargetMode="External"/><Relationship Id="rId17" Type="http://schemas.openxmlformats.org/officeDocument/2006/relationships/hyperlink" Target="https://www.amazon.com/gp/product/B0881HCN37/ref=ppx_yo_dt_b_search_asin_title?ie=UTF8&amp;psc=1" TargetMode="External"/><Relationship Id="rId16" Type="http://schemas.openxmlformats.org/officeDocument/2006/relationships/hyperlink" Target="https://www.amazon.com/gp/product/B07V4GGPW3/ref=ppx_yo_dt_b_asin_title_o06_s00?ie=UTF8&amp;psc=1" TargetMode="External"/><Relationship Id="rId19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18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5.14"/>
    <col customWidth="1" min="3" max="3" width="13.43"/>
    <col customWidth="1" min="4" max="5" width="16.14"/>
    <col customWidth="1" min="6" max="6" width="9.29"/>
    <col customWidth="1" min="7" max="7" width="68.29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4">
        <v>1.0</v>
      </c>
      <c r="C2" s="4">
        <v>1.0</v>
      </c>
      <c r="D2" s="3">
        <v>9.98</v>
      </c>
      <c r="E2" s="3">
        <v>9.98</v>
      </c>
      <c r="F2" s="3" t="s">
        <v>8</v>
      </c>
      <c r="G2" s="5" t="s">
        <v>9</v>
      </c>
    </row>
    <row r="3" ht="14.25" customHeight="1">
      <c r="A3" s="4" t="s">
        <v>10</v>
      </c>
      <c r="B3" s="4">
        <v>1.0</v>
      </c>
      <c r="C3" s="4">
        <v>1.0</v>
      </c>
      <c r="D3" s="3">
        <v>10.01</v>
      </c>
      <c r="E3" s="3">
        <v>10.01</v>
      </c>
      <c r="F3" s="3" t="s">
        <v>8</v>
      </c>
      <c r="G3" s="6" t="s">
        <v>11</v>
      </c>
    </row>
    <row r="4" ht="14.25" customHeight="1">
      <c r="A4" s="3" t="s">
        <v>12</v>
      </c>
      <c r="B4" s="4">
        <v>1.0</v>
      </c>
      <c r="C4" s="4">
        <v>1.0</v>
      </c>
      <c r="D4" s="3">
        <v>14.0</v>
      </c>
      <c r="E4" s="3">
        <v>14.0</v>
      </c>
      <c r="F4" s="3" t="s">
        <v>13</v>
      </c>
      <c r="G4" s="6" t="s">
        <v>14</v>
      </c>
    </row>
    <row r="5" ht="14.25" customHeight="1">
      <c r="A5" s="4" t="s">
        <v>15</v>
      </c>
      <c r="B5" s="4">
        <v>1.0</v>
      </c>
      <c r="C5" s="7">
        <v>5.0</v>
      </c>
      <c r="D5" s="3">
        <v>2.6</v>
      </c>
      <c r="E5" s="3">
        <v>2.6</v>
      </c>
      <c r="F5" s="3" t="s">
        <v>8</v>
      </c>
      <c r="G5" s="6" t="s">
        <v>16</v>
      </c>
    </row>
    <row r="6" ht="14.25" customHeight="1">
      <c r="A6" s="4" t="s">
        <v>17</v>
      </c>
      <c r="B6" s="3">
        <v>1.0</v>
      </c>
      <c r="C6" s="7">
        <v>2.0</v>
      </c>
      <c r="D6" s="3">
        <v>2.8</v>
      </c>
      <c r="E6" s="3">
        <v>2.8</v>
      </c>
      <c r="F6" s="3" t="s">
        <v>13</v>
      </c>
      <c r="G6" s="6" t="s">
        <v>18</v>
      </c>
    </row>
    <row r="7" ht="14.25" customHeight="1">
      <c r="A7" s="3" t="s">
        <v>19</v>
      </c>
      <c r="B7" s="4">
        <v>1.0</v>
      </c>
      <c r="C7" s="4">
        <v>1.0</v>
      </c>
      <c r="D7" s="3">
        <v>1.58</v>
      </c>
      <c r="E7" s="3">
        <v>1.58</v>
      </c>
      <c r="F7" s="3" t="s">
        <v>8</v>
      </c>
      <c r="G7" s="6" t="s">
        <v>20</v>
      </c>
    </row>
    <row r="8" ht="14.25" customHeight="1">
      <c r="A8" s="3" t="s">
        <v>21</v>
      </c>
      <c r="B8" s="4">
        <v>4.0</v>
      </c>
      <c r="C8" s="4">
        <v>1.0</v>
      </c>
      <c r="D8" s="3">
        <v>3.66</v>
      </c>
      <c r="E8" s="3">
        <f>B8*D8</f>
        <v>14.64</v>
      </c>
      <c r="F8" s="3" t="s">
        <v>8</v>
      </c>
      <c r="G8" s="5" t="s">
        <v>22</v>
      </c>
    </row>
    <row r="9" ht="14.25" customHeight="1">
      <c r="A9" s="3" t="s">
        <v>23</v>
      </c>
      <c r="B9" s="3">
        <v>1.0</v>
      </c>
      <c r="C9" s="3">
        <v>1.0</v>
      </c>
      <c r="D9" s="8">
        <v>1.08</v>
      </c>
      <c r="E9" s="8">
        <v>1.08</v>
      </c>
      <c r="F9" s="3" t="s">
        <v>8</v>
      </c>
      <c r="G9" s="9" t="s">
        <v>24</v>
      </c>
    </row>
    <row r="10" ht="14.25" customHeight="1">
      <c r="A10" s="4" t="s">
        <v>25</v>
      </c>
      <c r="B10" s="4">
        <v>3.0</v>
      </c>
      <c r="C10" s="7">
        <v>10.0</v>
      </c>
      <c r="D10" s="3">
        <v>4.68</v>
      </c>
      <c r="E10" s="3">
        <v>4.68</v>
      </c>
      <c r="F10" s="3" t="s">
        <v>8</v>
      </c>
      <c r="G10" s="5" t="s">
        <v>26</v>
      </c>
    </row>
    <row r="11" ht="14.25" customHeight="1">
      <c r="A11" s="4" t="s">
        <v>27</v>
      </c>
      <c r="B11" s="4">
        <v>2.0</v>
      </c>
      <c r="C11" s="4">
        <v>2.0</v>
      </c>
      <c r="D11" s="3">
        <v>1.09</v>
      </c>
      <c r="E11" s="3">
        <v>1.09</v>
      </c>
      <c r="F11" s="3" t="s">
        <v>8</v>
      </c>
      <c r="G11" s="5" t="s">
        <v>28</v>
      </c>
    </row>
    <row r="12" ht="14.25" customHeight="1">
      <c r="A12" s="3" t="s">
        <v>29</v>
      </c>
      <c r="B12" s="4">
        <v>1.0</v>
      </c>
      <c r="C12" s="4">
        <v>1.0</v>
      </c>
      <c r="D12" s="3">
        <v>3.52</v>
      </c>
      <c r="E12" s="3">
        <v>3.52</v>
      </c>
      <c r="F12" s="3" t="s">
        <v>8</v>
      </c>
      <c r="G12" s="5" t="s">
        <v>30</v>
      </c>
    </row>
    <row r="13" ht="14.25" customHeight="1">
      <c r="A13" s="4" t="s">
        <v>31</v>
      </c>
      <c r="B13" s="4">
        <v>1.0</v>
      </c>
      <c r="C13" s="4">
        <v>1.0</v>
      </c>
      <c r="D13" s="3">
        <v>17.4</v>
      </c>
      <c r="E13" s="3">
        <v>17.4</v>
      </c>
      <c r="F13" s="3" t="s">
        <v>8</v>
      </c>
      <c r="G13" s="5" t="s">
        <v>32</v>
      </c>
    </row>
    <row r="14" ht="14.25" customHeight="1">
      <c r="A14" s="4" t="s">
        <v>33</v>
      </c>
      <c r="B14" s="4">
        <v>1.0</v>
      </c>
      <c r="C14" s="4">
        <v>1.0</v>
      </c>
      <c r="D14" s="3">
        <v>15.58</v>
      </c>
      <c r="E14" s="3">
        <v>15.58</v>
      </c>
      <c r="F14" s="3" t="s">
        <v>8</v>
      </c>
      <c r="G14" s="5" t="s">
        <v>34</v>
      </c>
    </row>
    <row r="15" ht="14.25" customHeight="1">
      <c r="A15" s="4" t="s">
        <v>35</v>
      </c>
      <c r="B15" s="4">
        <v>1.0</v>
      </c>
      <c r="C15" s="3">
        <v>1.0</v>
      </c>
      <c r="D15" s="3">
        <v>4.65</v>
      </c>
      <c r="E15" s="3">
        <v>4.65</v>
      </c>
      <c r="F15" s="3" t="s">
        <v>8</v>
      </c>
      <c r="G15" s="5" t="s">
        <v>36</v>
      </c>
    </row>
    <row r="16" ht="14.25" customHeight="1">
      <c r="A16" s="3" t="s">
        <v>37</v>
      </c>
      <c r="B16" s="4">
        <v>50.0</v>
      </c>
      <c r="C16" s="3">
        <v>100.0</v>
      </c>
      <c r="D16" s="3">
        <v>1.35</v>
      </c>
      <c r="E16" s="3">
        <v>1.35</v>
      </c>
      <c r="F16" s="3" t="s">
        <v>8</v>
      </c>
      <c r="G16" s="5" t="s">
        <v>38</v>
      </c>
    </row>
    <row r="17" ht="14.25" customHeight="1">
      <c r="A17" s="4" t="s">
        <v>39</v>
      </c>
      <c r="B17" s="4">
        <v>100.0</v>
      </c>
      <c r="C17" s="3">
        <v>100.0</v>
      </c>
      <c r="D17" s="3">
        <v>1.67</v>
      </c>
      <c r="E17" s="3">
        <v>1.67</v>
      </c>
      <c r="F17" s="3" t="s">
        <v>8</v>
      </c>
      <c r="G17" s="5" t="s">
        <v>40</v>
      </c>
    </row>
    <row r="18" ht="14.25" customHeight="1">
      <c r="A18" s="4" t="s">
        <v>41</v>
      </c>
      <c r="B18" s="4">
        <v>20.0</v>
      </c>
      <c r="C18" s="3">
        <v>20.0</v>
      </c>
      <c r="D18" s="3">
        <v>3.25</v>
      </c>
      <c r="E18" s="3">
        <v>3.25</v>
      </c>
      <c r="F18" s="3" t="s">
        <v>8</v>
      </c>
      <c r="G18" s="5" t="s">
        <v>42</v>
      </c>
    </row>
    <row r="19" ht="14.25" customHeight="1">
      <c r="A19" s="4" t="s">
        <v>43</v>
      </c>
      <c r="B19" s="4">
        <v>20.0</v>
      </c>
      <c r="C19" s="3">
        <v>20.0</v>
      </c>
      <c r="D19" s="3">
        <v>2.81</v>
      </c>
      <c r="E19" s="3">
        <v>2.81</v>
      </c>
      <c r="F19" s="3" t="s">
        <v>8</v>
      </c>
      <c r="G19" s="5" t="s">
        <v>42</v>
      </c>
    </row>
    <row r="20" ht="14.25" customHeight="1">
      <c r="A20" s="4" t="s">
        <v>44</v>
      </c>
      <c r="B20" s="4">
        <v>2.0</v>
      </c>
      <c r="C20" s="7">
        <v>20.0</v>
      </c>
      <c r="D20" s="3">
        <v>5.0</v>
      </c>
      <c r="E20" s="3">
        <v>5.0</v>
      </c>
      <c r="F20" s="3" t="s">
        <v>8</v>
      </c>
      <c r="G20" s="9" t="s">
        <v>45</v>
      </c>
    </row>
    <row r="21" ht="14.25" customHeight="1">
      <c r="A21" s="3" t="s">
        <v>46</v>
      </c>
      <c r="B21" s="3">
        <v>1.0</v>
      </c>
      <c r="C21" s="3">
        <v>1.0</v>
      </c>
      <c r="D21" s="3">
        <v>3.83</v>
      </c>
      <c r="E21" s="3">
        <v>3.83</v>
      </c>
      <c r="F21" s="3" t="s">
        <v>8</v>
      </c>
      <c r="G21" s="5" t="s">
        <v>47</v>
      </c>
    </row>
    <row r="22" ht="14.25" customHeight="1">
      <c r="A22" s="4" t="s">
        <v>48</v>
      </c>
      <c r="B22" s="3">
        <v>4.0</v>
      </c>
      <c r="C22" s="7">
        <v>12.0</v>
      </c>
      <c r="D22" s="3">
        <v>3.74</v>
      </c>
      <c r="E22" s="3">
        <v>3.74</v>
      </c>
      <c r="F22" s="3" t="s">
        <v>8</v>
      </c>
      <c r="G22" s="5" t="s">
        <v>49</v>
      </c>
    </row>
    <row r="23" ht="14.25" customHeight="1">
      <c r="A23" s="4" t="s">
        <v>50</v>
      </c>
      <c r="B23" s="4">
        <v>1.0</v>
      </c>
      <c r="C23" s="3">
        <v>1.0</v>
      </c>
      <c r="D23" s="3">
        <v>1.15</v>
      </c>
      <c r="E23" s="3">
        <v>1.15</v>
      </c>
      <c r="F23" s="3" t="s">
        <v>8</v>
      </c>
      <c r="G23" s="5" t="s">
        <v>51</v>
      </c>
    </row>
    <row r="24" ht="14.25" customHeight="1">
      <c r="A24" s="4" t="s">
        <v>52</v>
      </c>
      <c r="B24" s="4">
        <v>1.0</v>
      </c>
      <c r="C24" s="3">
        <v>6.0</v>
      </c>
      <c r="D24" s="3">
        <v>16.99</v>
      </c>
      <c r="E24" s="3">
        <v>16.99</v>
      </c>
      <c r="F24" s="3" t="s">
        <v>8</v>
      </c>
      <c r="G24" s="9" t="s">
        <v>53</v>
      </c>
    </row>
    <row r="25" ht="14.25" customHeight="1">
      <c r="A25" s="4" t="s">
        <v>54</v>
      </c>
      <c r="B25" s="4">
        <v>1.0</v>
      </c>
      <c r="C25" s="3">
        <v>1.0</v>
      </c>
      <c r="D25" s="3">
        <v>2.41</v>
      </c>
      <c r="E25" s="3">
        <v>2.41</v>
      </c>
      <c r="F25" s="3" t="s">
        <v>8</v>
      </c>
      <c r="G25" s="5" t="s">
        <v>55</v>
      </c>
    </row>
    <row r="26" ht="14.25" customHeight="1">
      <c r="A26" s="3" t="s">
        <v>56</v>
      </c>
      <c r="B26" s="4">
        <v>1.0</v>
      </c>
      <c r="C26" s="4">
        <v>1.0</v>
      </c>
      <c r="D26" s="3">
        <v>5.64</v>
      </c>
      <c r="E26" s="3">
        <v>5.64</v>
      </c>
      <c r="F26" s="3" t="s">
        <v>8</v>
      </c>
      <c r="G26" s="5" t="s">
        <v>57</v>
      </c>
    </row>
    <row r="27" ht="14.25" customHeight="1">
      <c r="A27" s="3" t="s">
        <v>58</v>
      </c>
      <c r="B27" s="10">
        <v>1.0</v>
      </c>
      <c r="C27" s="7" t="s">
        <v>59</v>
      </c>
      <c r="D27" s="3">
        <f t="shared" ref="D27:E27" si="1">sum(1.82+2.11)</f>
        <v>3.93</v>
      </c>
      <c r="E27" s="3">
        <f t="shared" si="1"/>
        <v>3.93</v>
      </c>
      <c r="F27" s="3" t="s">
        <v>8</v>
      </c>
      <c r="G27" s="5" t="s">
        <v>60</v>
      </c>
    </row>
    <row r="28" ht="14.25" customHeight="1">
      <c r="A28" s="3" t="s">
        <v>61</v>
      </c>
      <c r="B28" s="10">
        <v>1.0</v>
      </c>
      <c r="C28" s="7" t="s">
        <v>59</v>
      </c>
      <c r="D28" s="3">
        <f t="shared" ref="D28:E28" si="2">sum(1.87+2.18+3.01)</f>
        <v>7.06</v>
      </c>
      <c r="E28" s="3">
        <f t="shared" si="2"/>
        <v>7.06</v>
      </c>
      <c r="F28" s="3" t="s">
        <v>8</v>
      </c>
      <c r="G28" s="5" t="s">
        <v>62</v>
      </c>
    </row>
    <row r="29" ht="14.25" customHeight="1">
      <c r="A29" s="4" t="s">
        <v>63</v>
      </c>
      <c r="B29" s="4">
        <v>1.0</v>
      </c>
      <c r="C29" s="4">
        <v>1.0</v>
      </c>
      <c r="D29" s="3">
        <v>2.43</v>
      </c>
      <c r="E29" s="3">
        <v>2.43</v>
      </c>
      <c r="F29" s="3" t="s">
        <v>8</v>
      </c>
      <c r="G29" s="5" t="s">
        <v>64</v>
      </c>
    </row>
    <row r="30" ht="14.25" customHeight="1">
      <c r="A30" s="4" t="s">
        <v>65</v>
      </c>
      <c r="B30" s="10">
        <v>1.0</v>
      </c>
      <c r="C30" s="7">
        <v>5.0</v>
      </c>
      <c r="D30" s="3">
        <v>1.43</v>
      </c>
      <c r="E30" s="3">
        <v>1.43</v>
      </c>
      <c r="F30" s="3" t="s">
        <v>8</v>
      </c>
      <c r="G30" s="5" t="s">
        <v>66</v>
      </c>
    </row>
    <row r="31" ht="14.25" customHeight="1">
      <c r="A31" s="4" t="s">
        <v>67</v>
      </c>
      <c r="B31" s="10">
        <v>1.0</v>
      </c>
      <c r="C31" s="7">
        <v>5.0</v>
      </c>
      <c r="D31" s="3">
        <v>3.18</v>
      </c>
      <c r="E31" s="3">
        <v>3.18</v>
      </c>
      <c r="F31" s="3" t="s">
        <v>8</v>
      </c>
      <c r="G31" s="5" t="s">
        <v>68</v>
      </c>
    </row>
    <row r="32" ht="14.25" customHeight="1">
      <c r="A32" s="4" t="s">
        <v>69</v>
      </c>
      <c r="B32" s="7" t="s">
        <v>70</v>
      </c>
      <c r="C32" s="7" t="s">
        <v>70</v>
      </c>
      <c r="D32" s="3">
        <v>6.02</v>
      </c>
      <c r="E32" s="3">
        <v>6.02</v>
      </c>
      <c r="F32" s="3" t="s">
        <v>8</v>
      </c>
      <c r="G32" s="5" t="s">
        <v>71</v>
      </c>
    </row>
    <row r="33" ht="14.25" customHeight="1">
      <c r="A33" s="4" t="s">
        <v>72</v>
      </c>
      <c r="B33" s="3">
        <v>1.0</v>
      </c>
      <c r="C33" s="3">
        <v>1.0</v>
      </c>
      <c r="D33" s="3">
        <v>2.04</v>
      </c>
      <c r="E33" s="3">
        <v>2.04</v>
      </c>
      <c r="F33" s="3" t="s">
        <v>8</v>
      </c>
      <c r="G33" s="5" t="s">
        <v>73</v>
      </c>
    </row>
    <row r="34" ht="14.25" customHeight="1">
      <c r="A34" s="4" t="s">
        <v>74</v>
      </c>
      <c r="B34" s="4">
        <v>1.0</v>
      </c>
      <c r="C34" s="3">
        <v>10.0</v>
      </c>
      <c r="D34" s="3">
        <v>6.36</v>
      </c>
      <c r="E34" s="3">
        <v>6.36</v>
      </c>
      <c r="F34" s="3" t="s">
        <v>8</v>
      </c>
      <c r="G34" s="5" t="s">
        <v>75</v>
      </c>
    </row>
    <row r="35" ht="14.25" customHeight="1">
      <c r="A35" s="4" t="s">
        <v>76</v>
      </c>
      <c r="B35" s="10">
        <v>2.0</v>
      </c>
      <c r="C35" s="10">
        <v>10.0</v>
      </c>
      <c r="D35" s="3">
        <v>3.93</v>
      </c>
      <c r="E35" s="3">
        <v>3.93</v>
      </c>
      <c r="F35" s="3" t="s">
        <v>8</v>
      </c>
      <c r="G35" s="5" t="s">
        <v>77</v>
      </c>
    </row>
    <row r="36" ht="14.25" customHeight="1">
      <c r="A36" s="4" t="s">
        <v>78</v>
      </c>
      <c r="B36" s="10">
        <v>1.0</v>
      </c>
      <c r="C36" s="10">
        <v>10.0</v>
      </c>
      <c r="D36" s="3">
        <v>1.54</v>
      </c>
      <c r="E36" s="3">
        <v>1.54</v>
      </c>
      <c r="F36" s="3" t="s">
        <v>8</v>
      </c>
      <c r="G36" s="6" t="s">
        <v>79</v>
      </c>
    </row>
    <row r="37" ht="14.25" customHeight="1">
      <c r="A37" s="4" t="s">
        <v>80</v>
      </c>
      <c r="B37" s="10">
        <v>4.0</v>
      </c>
      <c r="C37" s="10">
        <v>100.0</v>
      </c>
      <c r="D37" s="3">
        <v>1.26</v>
      </c>
      <c r="E37" s="3">
        <v>1.26</v>
      </c>
      <c r="F37" s="3" t="s">
        <v>8</v>
      </c>
      <c r="G37" s="6" t="s">
        <v>81</v>
      </c>
    </row>
    <row r="38" ht="14.25" customHeight="1">
      <c r="A38" s="3" t="s">
        <v>82</v>
      </c>
      <c r="B38" s="3">
        <v>1.0</v>
      </c>
      <c r="C38" s="3">
        <v>1.0</v>
      </c>
      <c r="D38" s="3">
        <v>8.05</v>
      </c>
      <c r="E38" s="3">
        <v>8.05</v>
      </c>
      <c r="F38" s="3" t="s">
        <v>8</v>
      </c>
      <c r="G38" s="5" t="s">
        <v>83</v>
      </c>
    </row>
    <row r="39" ht="14.25" customHeight="1">
      <c r="A39" s="4" t="s">
        <v>84</v>
      </c>
      <c r="B39" s="10">
        <v>1.0</v>
      </c>
      <c r="C39" s="7">
        <v>40.0</v>
      </c>
      <c r="D39" s="3">
        <v>2.92</v>
      </c>
      <c r="E39" s="3">
        <v>2.92</v>
      </c>
      <c r="F39" s="3" t="s">
        <v>8</v>
      </c>
      <c r="G39" s="6" t="s">
        <v>85</v>
      </c>
    </row>
    <row r="40" ht="14.25" customHeight="1">
      <c r="A40" s="3" t="s">
        <v>86</v>
      </c>
      <c r="B40" s="10">
        <v>5.0</v>
      </c>
      <c r="C40" s="7">
        <v>10.0</v>
      </c>
      <c r="D40" s="3">
        <v>11.15</v>
      </c>
      <c r="E40" s="3">
        <v>11.15</v>
      </c>
      <c r="F40" s="3" t="s">
        <v>8</v>
      </c>
      <c r="G40" s="6" t="s">
        <v>87</v>
      </c>
    </row>
    <row r="41" ht="14.25" customHeight="1">
      <c r="A41" s="4" t="s">
        <v>88</v>
      </c>
      <c r="B41" s="4">
        <v>16.0</v>
      </c>
      <c r="C41" s="3">
        <v>20.0</v>
      </c>
      <c r="D41" s="3">
        <v>4.2</v>
      </c>
      <c r="E41" s="3">
        <v>4.2</v>
      </c>
      <c r="F41" s="3" t="s">
        <v>8</v>
      </c>
      <c r="G41" s="6" t="s">
        <v>89</v>
      </c>
    </row>
    <row r="42" ht="14.25" customHeight="1">
      <c r="A42" s="4" t="s">
        <v>90</v>
      </c>
      <c r="B42" s="4">
        <v>1.0</v>
      </c>
      <c r="C42" s="4">
        <v>1.0</v>
      </c>
      <c r="D42" s="3">
        <v>2.86</v>
      </c>
      <c r="E42" s="3">
        <v>2.86</v>
      </c>
      <c r="F42" s="3" t="s">
        <v>8</v>
      </c>
      <c r="G42" s="6" t="s">
        <v>91</v>
      </c>
    </row>
    <row r="43" ht="14.25" customHeight="1">
      <c r="A43" s="4" t="s">
        <v>92</v>
      </c>
      <c r="B43" s="4">
        <v>1.0</v>
      </c>
      <c r="C43" s="3">
        <v>1.0</v>
      </c>
      <c r="D43" s="3">
        <v>1.0</v>
      </c>
      <c r="E43" s="3">
        <v>1.0</v>
      </c>
      <c r="F43" s="3" t="s">
        <v>8</v>
      </c>
      <c r="G43" s="6" t="s">
        <v>93</v>
      </c>
    </row>
    <row r="44" ht="14.25" customHeight="1">
      <c r="A44" s="4" t="s">
        <v>94</v>
      </c>
      <c r="B44" s="10">
        <v>1.0</v>
      </c>
      <c r="C44" s="10">
        <v>1.0</v>
      </c>
      <c r="D44" s="3">
        <v>3.44</v>
      </c>
      <c r="E44" s="3">
        <v>3.44</v>
      </c>
      <c r="F44" s="3" t="s">
        <v>8</v>
      </c>
      <c r="G44" s="6" t="s">
        <v>95</v>
      </c>
    </row>
    <row r="45" ht="14.25" customHeight="1">
      <c r="A45" s="3" t="s">
        <v>96</v>
      </c>
      <c r="B45" s="7">
        <v>1.0</v>
      </c>
      <c r="C45" s="7">
        <v>1.0</v>
      </c>
      <c r="D45" s="3">
        <v>17.16</v>
      </c>
      <c r="E45" s="3">
        <v>17.16</v>
      </c>
      <c r="F45" s="3" t="s">
        <v>8</v>
      </c>
      <c r="G45" s="5" t="s">
        <v>97</v>
      </c>
    </row>
    <row r="46" ht="14.25" customHeight="1">
      <c r="A46" s="3" t="s">
        <v>98</v>
      </c>
      <c r="B46" s="7">
        <v>1.0</v>
      </c>
      <c r="C46" s="7">
        <v>1.0</v>
      </c>
      <c r="D46" s="3">
        <v>16.86</v>
      </c>
      <c r="E46" s="3">
        <v>16.86</v>
      </c>
      <c r="F46" s="3" t="s">
        <v>8</v>
      </c>
      <c r="G46" s="5" t="s">
        <v>97</v>
      </c>
    </row>
    <row r="47" ht="14.25" customHeight="1">
      <c r="A47" s="4" t="s">
        <v>99</v>
      </c>
      <c r="B47" s="10">
        <v>1.0</v>
      </c>
      <c r="C47" s="10">
        <v>1.0</v>
      </c>
      <c r="D47" s="3">
        <v>5.54</v>
      </c>
      <c r="E47" s="3">
        <v>5.54</v>
      </c>
      <c r="F47" s="3" t="s">
        <v>8</v>
      </c>
      <c r="G47" s="6" t="s">
        <v>100</v>
      </c>
    </row>
    <row r="48" ht="14.25" customHeight="1">
      <c r="A48" s="3" t="s">
        <v>101</v>
      </c>
      <c r="B48" s="7">
        <v>1.0</v>
      </c>
      <c r="C48" s="7">
        <v>1.0</v>
      </c>
      <c r="D48" s="3">
        <v>4.59</v>
      </c>
      <c r="E48" s="3">
        <v>4.59</v>
      </c>
      <c r="F48" s="3" t="s">
        <v>8</v>
      </c>
      <c r="G48" s="5" t="s">
        <v>102</v>
      </c>
    </row>
    <row r="49" ht="14.25" customHeight="1">
      <c r="A49" s="4" t="s">
        <v>103</v>
      </c>
      <c r="B49" s="4">
        <v>1.0</v>
      </c>
      <c r="C49" s="4">
        <v>1.0</v>
      </c>
      <c r="D49" s="3">
        <v>20.59</v>
      </c>
      <c r="E49" s="3">
        <v>20.59</v>
      </c>
      <c r="F49" s="11" t="s">
        <v>104</v>
      </c>
      <c r="G49" s="6" t="s">
        <v>105</v>
      </c>
    </row>
    <row r="50" ht="14.25" customHeight="1">
      <c r="A50" s="4" t="s">
        <v>106</v>
      </c>
      <c r="B50" s="4">
        <v>16.0</v>
      </c>
      <c r="C50" s="3">
        <v>30.0</v>
      </c>
      <c r="D50" s="3">
        <v>6.99</v>
      </c>
      <c r="E50" s="3">
        <f>D48</f>
        <v>4.59</v>
      </c>
      <c r="F50" s="3" t="s">
        <v>104</v>
      </c>
      <c r="G50" s="5" t="s">
        <v>107</v>
      </c>
    </row>
    <row r="51" ht="14.25" customHeight="1">
      <c r="A51" s="4" t="s">
        <v>108</v>
      </c>
      <c r="B51" s="4">
        <v>16.0</v>
      </c>
      <c r="C51" s="3">
        <v>30.0</v>
      </c>
      <c r="D51" s="3">
        <v>7.49</v>
      </c>
      <c r="E51" s="3">
        <f>D51</f>
        <v>7.49</v>
      </c>
      <c r="F51" s="3" t="s">
        <v>104</v>
      </c>
      <c r="G51" s="12" t="s">
        <v>109</v>
      </c>
    </row>
    <row r="52" ht="14.25" customHeight="1">
      <c r="A52" s="4" t="s">
        <v>110</v>
      </c>
      <c r="B52" s="4">
        <v>1.0</v>
      </c>
      <c r="C52" s="4">
        <v>1.0</v>
      </c>
      <c r="D52" s="3">
        <v>1.99</v>
      </c>
      <c r="E52" s="3">
        <v>1.99</v>
      </c>
      <c r="F52" s="4" t="s">
        <v>111</v>
      </c>
      <c r="G52" s="6" t="s">
        <v>112</v>
      </c>
    </row>
    <row r="53" ht="14.25" customHeight="1">
      <c r="A53" s="4" t="s">
        <v>113</v>
      </c>
      <c r="B53" s="4">
        <v>1.0</v>
      </c>
      <c r="C53" s="4">
        <v>1.0</v>
      </c>
      <c r="D53" s="3">
        <v>3.11</v>
      </c>
      <c r="E53" s="3">
        <v>3.11</v>
      </c>
      <c r="F53" s="3" t="s">
        <v>114</v>
      </c>
      <c r="G53" s="6" t="s">
        <v>115</v>
      </c>
    </row>
    <row r="54" ht="14.25" customHeight="1">
      <c r="A54" s="4" t="s">
        <v>116</v>
      </c>
      <c r="B54" s="4">
        <v>1.0</v>
      </c>
      <c r="C54" s="4">
        <v>1.0</v>
      </c>
      <c r="D54" s="3">
        <v>0.59</v>
      </c>
      <c r="E54" s="3">
        <v>0.59</v>
      </c>
      <c r="F54" s="4" t="s">
        <v>111</v>
      </c>
      <c r="G54" s="9" t="s">
        <v>117</v>
      </c>
    </row>
    <row r="55">
      <c r="E55" s="4">
        <f>sum(E2:E54)</f>
        <v>306.76</v>
      </c>
    </row>
    <row r="57" ht="14.25" customHeight="1">
      <c r="A57" s="13" t="s">
        <v>118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4.25" customHeight="1"/>
    <row r="59" ht="14.25" customHeight="1">
      <c r="A59" s="3" t="s">
        <v>119</v>
      </c>
      <c r="B59" s="3">
        <v>1.0</v>
      </c>
      <c r="C59" s="3">
        <v>1.0</v>
      </c>
      <c r="D59" s="3">
        <v>19.99</v>
      </c>
      <c r="E59" s="3">
        <v>19.99</v>
      </c>
      <c r="F59" s="3" t="s">
        <v>104</v>
      </c>
      <c r="G59" s="5" t="s">
        <v>120</v>
      </c>
    </row>
    <row r="60" ht="14.25" customHeight="1">
      <c r="A60" s="3" t="s">
        <v>121</v>
      </c>
      <c r="B60" s="3">
        <v>1.0</v>
      </c>
      <c r="C60" s="3">
        <v>1.0</v>
      </c>
      <c r="D60" s="3">
        <v>14.29</v>
      </c>
      <c r="E60" s="3">
        <v>14.29</v>
      </c>
      <c r="F60" s="3" t="s">
        <v>104</v>
      </c>
      <c r="G60" s="5" t="s">
        <v>122</v>
      </c>
    </row>
    <row r="62" ht="14.25" customHeight="1">
      <c r="A62" s="3" t="s">
        <v>123</v>
      </c>
      <c r="D62" s="15">
        <v>70.0</v>
      </c>
      <c r="F62" s="3" t="s">
        <v>13</v>
      </c>
      <c r="G62" s="5" t="s">
        <v>124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A73" s="3" t="s">
        <v>125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9"/>
    <hyperlink r:id="rId55" ref="G60"/>
    <hyperlink r:id="rId56" ref="G62"/>
  </hyperlinks>
  <printOptions/>
  <pageMargins bottom="0.75" footer="0.0" header="0.0" left="0.7" right="0.7" top="0.75"/>
  <pageSetup orientation="portrait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5.14"/>
    <col customWidth="1" min="3" max="3" width="13.43"/>
    <col customWidth="1" min="4" max="5" width="16.14"/>
    <col customWidth="1" min="6" max="6" width="9.29"/>
    <col customWidth="1" min="7" max="7" width="68.29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4">
        <v>1.0</v>
      </c>
      <c r="C2" s="4">
        <v>1.0</v>
      </c>
      <c r="D2" s="3">
        <v>9.98</v>
      </c>
      <c r="E2" s="3">
        <v>9.98</v>
      </c>
      <c r="F2" s="3" t="s">
        <v>8</v>
      </c>
      <c r="G2" s="5" t="s">
        <v>9</v>
      </c>
    </row>
    <row r="3" ht="14.25" customHeight="1">
      <c r="A3" s="4" t="s">
        <v>10</v>
      </c>
      <c r="B3" s="4">
        <v>1.0</v>
      </c>
      <c r="C3" s="4">
        <v>1.0</v>
      </c>
      <c r="D3" s="3">
        <v>10.01</v>
      </c>
      <c r="E3" s="3">
        <v>10.01</v>
      </c>
      <c r="F3" s="3" t="s">
        <v>8</v>
      </c>
      <c r="G3" s="6" t="s">
        <v>11</v>
      </c>
    </row>
    <row r="4" ht="14.25" customHeight="1">
      <c r="A4" s="3" t="s">
        <v>12</v>
      </c>
      <c r="B4" s="4">
        <v>1.0</v>
      </c>
      <c r="C4" s="4">
        <v>1.0</v>
      </c>
      <c r="D4" s="3">
        <v>14.0</v>
      </c>
      <c r="E4" s="3">
        <v>14.0</v>
      </c>
      <c r="F4" s="3" t="s">
        <v>13</v>
      </c>
      <c r="G4" s="6" t="s">
        <v>14</v>
      </c>
    </row>
    <row r="5" ht="14.25" customHeight="1">
      <c r="A5" s="3" t="s">
        <v>19</v>
      </c>
      <c r="B5" s="4">
        <v>1.0</v>
      </c>
      <c r="C5" s="4">
        <v>1.0</v>
      </c>
      <c r="D5" s="3">
        <v>1.58</v>
      </c>
      <c r="E5" s="3">
        <v>1.58</v>
      </c>
      <c r="F5" s="3" t="s">
        <v>8</v>
      </c>
      <c r="G5" s="6" t="s">
        <v>126</v>
      </c>
    </row>
    <row r="6" ht="14.25" customHeight="1">
      <c r="A6" s="3" t="s">
        <v>21</v>
      </c>
      <c r="B6" s="4">
        <v>4.0</v>
      </c>
      <c r="C6" s="4">
        <v>1.0</v>
      </c>
      <c r="D6" s="3">
        <v>3.66</v>
      </c>
      <c r="E6" s="3">
        <f>B6*D6</f>
        <v>14.64</v>
      </c>
      <c r="F6" s="3" t="s">
        <v>8</v>
      </c>
      <c r="G6" s="5" t="s">
        <v>22</v>
      </c>
    </row>
    <row r="7" ht="14.25" customHeight="1">
      <c r="A7" s="3" t="s">
        <v>23</v>
      </c>
      <c r="B7" s="3">
        <v>1.0</v>
      </c>
      <c r="C7" s="3">
        <v>1.0</v>
      </c>
      <c r="D7" s="8">
        <v>1.08</v>
      </c>
      <c r="E7" s="8">
        <v>1.08</v>
      </c>
      <c r="F7" s="3" t="s">
        <v>8</v>
      </c>
      <c r="G7" s="9" t="s">
        <v>24</v>
      </c>
    </row>
    <row r="8" ht="14.25" customHeight="1">
      <c r="A8" s="4" t="s">
        <v>27</v>
      </c>
      <c r="B8" s="4">
        <v>2.0</v>
      </c>
      <c r="C8" s="4">
        <v>2.0</v>
      </c>
      <c r="D8" s="3">
        <v>1.09</v>
      </c>
      <c r="E8" s="3">
        <v>1.09</v>
      </c>
      <c r="F8" s="3" t="s">
        <v>8</v>
      </c>
      <c r="G8" s="5" t="s">
        <v>28</v>
      </c>
    </row>
    <row r="9" ht="14.25" customHeight="1">
      <c r="A9" s="3" t="s">
        <v>29</v>
      </c>
      <c r="B9" s="4">
        <v>1.0</v>
      </c>
      <c r="C9" s="4">
        <v>1.0</v>
      </c>
      <c r="D9" s="3">
        <v>3.52</v>
      </c>
      <c r="E9" s="3">
        <v>3.52</v>
      </c>
      <c r="F9" s="3" t="s">
        <v>8</v>
      </c>
      <c r="G9" s="5" t="s">
        <v>30</v>
      </c>
    </row>
    <row r="10" ht="14.25" customHeight="1">
      <c r="A10" s="4" t="s">
        <v>31</v>
      </c>
      <c r="B10" s="4">
        <v>1.0</v>
      </c>
      <c r="C10" s="4">
        <v>1.0</v>
      </c>
      <c r="D10" s="3">
        <v>17.4</v>
      </c>
      <c r="E10" s="3">
        <v>17.4</v>
      </c>
      <c r="F10" s="3" t="s">
        <v>8</v>
      </c>
      <c r="G10" s="5" t="s">
        <v>32</v>
      </c>
    </row>
    <row r="11" ht="14.25" customHeight="1">
      <c r="A11" s="4" t="s">
        <v>33</v>
      </c>
      <c r="B11" s="4">
        <v>1.0</v>
      </c>
      <c r="C11" s="4">
        <v>1.0</v>
      </c>
      <c r="D11" s="3">
        <v>15.58</v>
      </c>
      <c r="E11" s="3">
        <v>15.58</v>
      </c>
      <c r="F11" s="3" t="s">
        <v>8</v>
      </c>
      <c r="G11" s="5" t="s">
        <v>34</v>
      </c>
    </row>
    <row r="12" ht="14.25" customHeight="1">
      <c r="A12" s="4" t="s">
        <v>35</v>
      </c>
      <c r="B12" s="4">
        <v>1.0</v>
      </c>
      <c r="C12" s="3">
        <v>1.0</v>
      </c>
      <c r="D12" s="3">
        <v>4.65</v>
      </c>
      <c r="E12" s="3">
        <v>4.65</v>
      </c>
      <c r="F12" s="3" t="s">
        <v>8</v>
      </c>
      <c r="G12" s="5" t="s">
        <v>36</v>
      </c>
    </row>
    <row r="13" ht="14.25" customHeight="1">
      <c r="A13" s="3" t="s">
        <v>37</v>
      </c>
      <c r="B13" s="4">
        <v>50.0</v>
      </c>
      <c r="C13" s="3">
        <v>100.0</v>
      </c>
      <c r="D13" s="3">
        <v>1.35</v>
      </c>
      <c r="E13" s="3">
        <v>1.35</v>
      </c>
      <c r="F13" s="3" t="s">
        <v>8</v>
      </c>
      <c r="G13" s="5" t="s">
        <v>38</v>
      </c>
    </row>
    <row r="14" ht="14.25" customHeight="1">
      <c r="A14" s="4" t="s">
        <v>39</v>
      </c>
      <c r="B14" s="4">
        <v>100.0</v>
      </c>
      <c r="C14" s="3">
        <v>100.0</v>
      </c>
      <c r="D14" s="3">
        <v>1.67</v>
      </c>
      <c r="E14" s="3">
        <v>1.67</v>
      </c>
      <c r="F14" s="3" t="s">
        <v>8</v>
      </c>
      <c r="G14" s="5" t="s">
        <v>40</v>
      </c>
    </row>
    <row r="15" ht="14.25" customHeight="1">
      <c r="A15" s="4" t="s">
        <v>41</v>
      </c>
      <c r="B15" s="4">
        <v>20.0</v>
      </c>
      <c r="C15" s="3">
        <v>20.0</v>
      </c>
      <c r="D15" s="3">
        <v>3.25</v>
      </c>
      <c r="E15" s="3">
        <v>3.25</v>
      </c>
      <c r="F15" s="3" t="s">
        <v>8</v>
      </c>
      <c r="G15" s="5" t="s">
        <v>42</v>
      </c>
    </row>
    <row r="16" ht="14.25" customHeight="1">
      <c r="A16" s="4" t="s">
        <v>43</v>
      </c>
      <c r="B16" s="4">
        <v>20.0</v>
      </c>
      <c r="C16" s="3">
        <v>20.0</v>
      </c>
      <c r="D16" s="3">
        <v>2.81</v>
      </c>
      <c r="E16" s="3">
        <v>2.81</v>
      </c>
      <c r="F16" s="3" t="s">
        <v>8</v>
      </c>
      <c r="G16" s="5" t="s">
        <v>42</v>
      </c>
    </row>
    <row r="17" ht="14.25" customHeight="1">
      <c r="A17" s="3" t="s">
        <v>46</v>
      </c>
      <c r="B17" s="3">
        <v>1.0</v>
      </c>
      <c r="C17" s="3">
        <v>1.0</v>
      </c>
      <c r="D17" s="3">
        <v>3.83</v>
      </c>
      <c r="E17" s="3">
        <v>3.83</v>
      </c>
      <c r="F17" s="3" t="s">
        <v>8</v>
      </c>
      <c r="G17" s="5" t="s">
        <v>47</v>
      </c>
    </row>
    <row r="18" ht="14.25" customHeight="1">
      <c r="A18" s="4" t="s">
        <v>50</v>
      </c>
      <c r="B18" s="4">
        <v>1.0</v>
      </c>
      <c r="C18" s="3">
        <v>1.0</v>
      </c>
      <c r="D18" s="3">
        <v>1.15</v>
      </c>
      <c r="E18" s="3">
        <v>1.15</v>
      </c>
      <c r="F18" s="3" t="s">
        <v>8</v>
      </c>
      <c r="G18" s="5" t="s">
        <v>51</v>
      </c>
    </row>
    <row r="19" ht="14.25" customHeight="1">
      <c r="A19" s="4" t="s">
        <v>52</v>
      </c>
      <c r="B19" s="4">
        <v>1.0</v>
      </c>
      <c r="C19" s="3">
        <v>6.0</v>
      </c>
      <c r="D19" s="3">
        <v>16.99</v>
      </c>
      <c r="E19" s="3">
        <v>16.99</v>
      </c>
      <c r="F19" s="3" t="s">
        <v>8</v>
      </c>
      <c r="G19" s="9" t="s">
        <v>53</v>
      </c>
    </row>
    <row r="20" ht="14.25" customHeight="1">
      <c r="A20" s="4" t="s">
        <v>54</v>
      </c>
      <c r="B20" s="4">
        <v>1.0</v>
      </c>
      <c r="C20" s="3">
        <v>1.0</v>
      </c>
      <c r="D20" s="3">
        <v>2.41</v>
      </c>
      <c r="E20" s="3">
        <v>2.41</v>
      </c>
      <c r="F20" s="3" t="s">
        <v>8</v>
      </c>
      <c r="G20" s="5" t="s">
        <v>55</v>
      </c>
    </row>
    <row r="21" ht="14.25" customHeight="1">
      <c r="A21" s="3" t="s">
        <v>56</v>
      </c>
      <c r="B21" s="4">
        <v>1.0</v>
      </c>
      <c r="C21" s="4">
        <v>1.0</v>
      </c>
      <c r="D21" s="3">
        <v>5.64</v>
      </c>
      <c r="E21" s="3">
        <v>5.64</v>
      </c>
      <c r="F21" s="3" t="s">
        <v>8</v>
      </c>
      <c r="G21" s="5" t="s">
        <v>57</v>
      </c>
    </row>
    <row r="22" ht="14.25" customHeight="1">
      <c r="A22" s="4" t="s">
        <v>63</v>
      </c>
      <c r="B22" s="4">
        <v>1.0</v>
      </c>
      <c r="C22" s="4">
        <v>1.0</v>
      </c>
      <c r="D22" s="3">
        <v>2.43</v>
      </c>
      <c r="E22" s="3">
        <v>2.43</v>
      </c>
      <c r="F22" s="3" t="s">
        <v>8</v>
      </c>
      <c r="G22" s="5" t="s">
        <v>64</v>
      </c>
    </row>
    <row r="23" ht="14.25" customHeight="1">
      <c r="A23" s="4" t="s">
        <v>72</v>
      </c>
      <c r="B23" s="3">
        <v>1.0</v>
      </c>
      <c r="C23" s="3">
        <v>1.0</v>
      </c>
      <c r="D23" s="3">
        <v>2.04</v>
      </c>
      <c r="E23" s="3">
        <v>2.04</v>
      </c>
      <c r="F23" s="3" t="s">
        <v>8</v>
      </c>
      <c r="G23" s="5" t="s">
        <v>73</v>
      </c>
    </row>
    <row r="24" ht="14.25" customHeight="1">
      <c r="A24" s="4" t="s">
        <v>74</v>
      </c>
      <c r="B24" s="4">
        <v>1.0</v>
      </c>
      <c r="C24" s="3">
        <v>10.0</v>
      </c>
      <c r="D24" s="3">
        <v>6.36</v>
      </c>
      <c r="E24" s="3">
        <v>6.36</v>
      </c>
      <c r="F24" s="3" t="s">
        <v>8</v>
      </c>
      <c r="G24" s="5" t="s">
        <v>75</v>
      </c>
    </row>
    <row r="25" ht="14.25" customHeight="1">
      <c r="A25" s="3" t="s">
        <v>82</v>
      </c>
      <c r="B25" s="3">
        <v>1.0</v>
      </c>
      <c r="C25" s="3">
        <v>1.0</v>
      </c>
      <c r="D25" s="3">
        <v>8.05</v>
      </c>
      <c r="E25" s="3">
        <v>8.05</v>
      </c>
      <c r="F25" s="3" t="s">
        <v>8</v>
      </c>
      <c r="G25" s="5" t="s">
        <v>83</v>
      </c>
    </row>
    <row r="26" ht="14.25" customHeight="1">
      <c r="A26" s="4" t="s">
        <v>103</v>
      </c>
      <c r="B26" s="4">
        <v>1.0</v>
      </c>
      <c r="C26" s="4">
        <v>1.0</v>
      </c>
      <c r="D26" s="3">
        <v>20.59</v>
      </c>
      <c r="E26" s="3">
        <v>20.59</v>
      </c>
      <c r="F26" s="16" t="s">
        <v>104</v>
      </c>
      <c r="G26" s="6" t="s">
        <v>105</v>
      </c>
    </row>
    <row r="27" ht="14.25" customHeight="1">
      <c r="A27" s="4" t="s">
        <v>88</v>
      </c>
      <c r="B27" s="4">
        <v>16.0</v>
      </c>
      <c r="C27" s="3">
        <v>20.0</v>
      </c>
      <c r="D27" s="3">
        <v>4.2</v>
      </c>
      <c r="E27" s="3">
        <v>4.2</v>
      </c>
      <c r="F27" s="3" t="s">
        <v>8</v>
      </c>
      <c r="G27" s="6" t="s">
        <v>89</v>
      </c>
    </row>
    <row r="28" ht="14.25" customHeight="1">
      <c r="A28" s="4" t="s">
        <v>90</v>
      </c>
      <c r="B28" s="4">
        <v>1.0</v>
      </c>
      <c r="C28" s="4">
        <v>1.0</v>
      </c>
      <c r="D28" s="3">
        <v>2.86</v>
      </c>
      <c r="E28" s="3">
        <v>2.86</v>
      </c>
      <c r="F28" s="3" t="s">
        <v>8</v>
      </c>
      <c r="G28" s="6" t="s">
        <v>91</v>
      </c>
    </row>
    <row r="29" ht="14.25" customHeight="1">
      <c r="A29" s="4" t="s">
        <v>92</v>
      </c>
      <c r="B29" s="4">
        <v>1.0</v>
      </c>
      <c r="C29" s="3">
        <v>1.0</v>
      </c>
      <c r="D29" s="3">
        <v>1.0</v>
      </c>
      <c r="E29" s="3">
        <v>1.0</v>
      </c>
      <c r="F29" s="3" t="s">
        <v>8</v>
      </c>
      <c r="G29" s="6" t="s">
        <v>93</v>
      </c>
    </row>
    <row r="30" ht="14.25" customHeight="1">
      <c r="A30" s="4" t="s">
        <v>106</v>
      </c>
      <c r="B30" s="4">
        <v>16.0</v>
      </c>
      <c r="C30" s="3">
        <v>30.0</v>
      </c>
      <c r="D30" s="3">
        <v>6.99</v>
      </c>
      <c r="E30" s="3">
        <v>6.99</v>
      </c>
      <c r="F30" s="3" t="s">
        <v>104</v>
      </c>
      <c r="G30" s="5" t="s">
        <v>107</v>
      </c>
    </row>
    <row r="31" ht="14.25" customHeight="1">
      <c r="A31" s="4" t="s">
        <v>108</v>
      </c>
      <c r="B31" s="4">
        <v>16.0</v>
      </c>
      <c r="C31" s="3">
        <v>30.0</v>
      </c>
      <c r="D31" s="3">
        <v>7.49</v>
      </c>
      <c r="E31" s="3">
        <f>D31</f>
        <v>7.49</v>
      </c>
      <c r="F31" s="3" t="s">
        <v>104</v>
      </c>
      <c r="G31" s="12" t="s">
        <v>109</v>
      </c>
    </row>
    <row r="32" ht="14.25" customHeight="1">
      <c r="A32" s="4" t="s">
        <v>110</v>
      </c>
      <c r="B32" s="4">
        <v>1.0</v>
      </c>
      <c r="C32" s="4">
        <v>1.0</v>
      </c>
      <c r="D32" s="3">
        <v>1.99</v>
      </c>
      <c r="E32" s="3">
        <v>1.99</v>
      </c>
      <c r="F32" s="4" t="s">
        <v>111</v>
      </c>
      <c r="G32" s="6" t="s">
        <v>112</v>
      </c>
    </row>
    <row r="33" ht="14.25" customHeight="1">
      <c r="A33" s="4" t="s">
        <v>113</v>
      </c>
      <c r="B33" s="4">
        <v>1.0</v>
      </c>
      <c r="C33" s="4">
        <v>1.0</v>
      </c>
      <c r="D33" s="3">
        <v>3.11</v>
      </c>
      <c r="E33" s="3">
        <v>3.11</v>
      </c>
      <c r="F33" s="3" t="s">
        <v>114</v>
      </c>
      <c r="G33" s="6" t="s">
        <v>115</v>
      </c>
    </row>
    <row r="34" ht="14.25" customHeight="1">
      <c r="A34" s="4" t="s">
        <v>116</v>
      </c>
      <c r="B34" s="4">
        <v>1.0</v>
      </c>
      <c r="C34" s="4">
        <v>1.0</v>
      </c>
      <c r="D34" s="3">
        <v>0.59</v>
      </c>
      <c r="E34" s="3">
        <v>0.59</v>
      </c>
      <c r="F34" s="4" t="s">
        <v>111</v>
      </c>
      <c r="G34" s="9" t="s">
        <v>117</v>
      </c>
    </row>
    <row r="35">
      <c r="E35" s="4">
        <f>sum(E2:E34)</f>
        <v>200.33</v>
      </c>
    </row>
    <row r="37" ht="14.25" customHeight="1">
      <c r="A37" s="13" t="s">
        <v>118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4.25" customHeight="1"/>
    <row r="39" ht="14.25" customHeight="1">
      <c r="A39" s="3" t="s">
        <v>119</v>
      </c>
      <c r="B39" s="3">
        <v>1.0</v>
      </c>
      <c r="C39" s="3">
        <v>1.0</v>
      </c>
      <c r="D39" s="3">
        <v>19.99</v>
      </c>
      <c r="E39" s="3">
        <v>19.99</v>
      </c>
      <c r="F39" s="3" t="s">
        <v>104</v>
      </c>
      <c r="G39" s="5" t="s">
        <v>120</v>
      </c>
    </row>
    <row r="40" ht="14.25" customHeight="1">
      <c r="A40" s="3" t="s">
        <v>121</v>
      </c>
      <c r="B40" s="3">
        <v>1.0</v>
      </c>
      <c r="C40" s="3">
        <v>1.0</v>
      </c>
      <c r="D40" s="3">
        <v>14.29</v>
      </c>
      <c r="E40" s="3">
        <v>14.29</v>
      </c>
      <c r="F40" s="3" t="s">
        <v>104</v>
      </c>
      <c r="G40" s="5" t="s">
        <v>122</v>
      </c>
    </row>
    <row r="42" ht="14.25" customHeight="1">
      <c r="A42" s="3" t="s">
        <v>123</v>
      </c>
      <c r="D42" s="15">
        <v>70.0</v>
      </c>
      <c r="F42" s="3" t="s">
        <v>13</v>
      </c>
      <c r="G42" s="5" t="s">
        <v>124</v>
      </c>
    </row>
    <row r="43" ht="14.25" customHeight="1">
      <c r="A43" s="3" t="s">
        <v>127</v>
      </c>
      <c r="B43" s="3">
        <v>1.0</v>
      </c>
      <c r="C43" s="3">
        <v>1.0</v>
      </c>
      <c r="D43" s="8">
        <v>0.95</v>
      </c>
      <c r="F43" s="3" t="s">
        <v>8</v>
      </c>
      <c r="G43" s="5" t="s">
        <v>128</v>
      </c>
    </row>
    <row r="44" ht="14.25" customHeight="1">
      <c r="A44" s="3" t="s">
        <v>125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9"/>
    <hyperlink r:id="rId35" ref="G40"/>
    <hyperlink r:id="rId36" ref="G42"/>
    <hyperlink r:id="rId37" ref="G43"/>
  </hyperlinks>
  <printOptions/>
  <pageMargins bottom="0.75" footer="0.0" header="0.0" left="0.7" right="0.7" top="0.75"/>
  <pageSetup orientation="portrait"/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5.14"/>
    <col customWidth="1" min="3" max="3" width="13.43"/>
    <col customWidth="1" min="4" max="5" width="16.14"/>
    <col customWidth="1" min="6" max="6" width="9.29"/>
    <col customWidth="1" min="7" max="7" width="68.29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129</v>
      </c>
      <c r="B2" s="4">
        <v>1.0</v>
      </c>
      <c r="C2" s="4">
        <v>1.0</v>
      </c>
      <c r="D2" s="3">
        <v>19.95</v>
      </c>
      <c r="E2" s="3">
        <v>19.95</v>
      </c>
      <c r="F2" s="3" t="s">
        <v>130</v>
      </c>
      <c r="G2" s="5" t="s">
        <v>131</v>
      </c>
    </row>
    <row r="3" ht="14.25" customHeight="1">
      <c r="A3" s="4" t="s">
        <v>10</v>
      </c>
      <c r="B3" s="4">
        <v>1.0</v>
      </c>
      <c r="C3" s="4">
        <v>1.0</v>
      </c>
      <c r="D3" s="4">
        <v>13.95</v>
      </c>
      <c r="E3" s="4">
        <v>13.95</v>
      </c>
      <c r="F3" s="4" t="s">
        <v>130</v>
      </c>
      <c r="G3" s="6" t="s">
        <v>132</v>
      </c>
    </row>
    <row r="4" ht="14.25" customHeight="1">
      <c r="A4" s="4" t="s">
        <v>133</v>
      </c>
      <c r="B4" s="4">
        <v>1.0</v>
      </c>
      <c r="C4" s="4">
        <v>1.0</v>
      </c>
      <c r="D4" s="4">
        <v>14.95</v>
      </c>
      <c r="E4" s="4">
        <v>14.95</v>
      </c>
      <c r="F4" s="4" t="s">
        <v>130</v>
      </c>
      <c r="G4" s="6" t="s">
        <v>134</v>
      </c>
    </row>
    <row r="5" ht="14.25" customHeight="1">
      <c r="A5" s="4" t="s">
        <v>15</v>
      </c>
      <c r="B5" s="4">
        <v>1.0</v>
      </c>
      <c r="C5" s="4">
        <v>1.0</v>
      </c>
      <c r="D5" s="4">
        <v>7.5</v>
      </c>
      <c r="E5" s="4">
        <v>7.5</v>
      </c>
      <c r="F5" s="4" t="s">
        <v>130</v>
      </c>
      <c r="G5" s="6" t="s">
        <v>135</v>
      </c>
    </row>
    <row r="6" ht="14.25" customHeight="1">
      <c r="A6" s="4" t="s">
        <v>17</v>
      </c>
      <c r="B6" s="4">
        <v>1.0</v>
      </c>
      <c r="C6" s="4">
        <v>1.0</v>
      </c>
      <c r="D6" s="4">
        <v>6.95</v>
      </c>
      <c r="E6" s="4">
        <v>6.95</v>
      </c>
      <c r="F6" s="4" t="s">
        <v>130</v>
      </c>
      <c r="G6" s="6" t="s">
        <v>136</v>
      </c>
    </row>
    <row r="7" ht="14.25" customHeight="1">
      <c r="A7" s="4" t="s">
        <v>137</v>
      </c>
      <c r="B7" s="4">
        <v>1.0</v>
      </c>
      <c r="C7" s="4">
        <v>1.0</v>
      </c>
      <c r="D7" s="4">
        <v>6.95</v>
      </c>
      <c r="E7" s="4">
        <v>6.95</v>
      </c>
      <c r="F7" s="4" t="s">
        <v>130</v>
      </c>
      <c r="G7" s="6" t="s">
        <v>138</v>
      </c>
    </row>
    <row r="8" ht="14.25" customHeight="1">
      <c r="A8" s="3" t="s">
        <v>21</v>
      </c>
      <c r="B8" s="4">
        <v>4.0</v>
      </c>
      <c r="C8" s="4">
        <v>1.0</v>
      </c>
      <c r="D8" s="3">
        <v>3.66</v>
      </c>
      <c r="E8" s="3">
        <f>B8*D8</f>
        <v>14.64</v>
      </c>
      <c r="F8" s="3" t="s">
        <v>8</v>
      </c>
      <c r="G8" s="5" t="s">
        <v>22</v>
      </c>
    </row>
    <row r="9" ht="14.25" customHeight="1">
      <c r="A9" s="3" t="s">
        <v>23</v>
      </c>
      <c r="B9" s="3">
        <v>1.0</v>
      </c>
      <c r="C9" s="3">
        <v>1.0</v>
      </c>
      <c r="D9" s="8">
        <v>1.08</v>
      </c>
      <c r="E9" s="8">
        <v>1.08</v>
      </c>
      <c r="F9" s="3" t="s">
        <v>8</v>
      </c>
      <c r="G9" s="9" t="s">
        <v>24</v>
      </c>
    </row>
    <row r="10" ht="14.25" customHeight="1">
      <c r="A10" s="4" t="s">
        <v>88</v>
      </c>
      <c r="B10" s="4">
        <v>16.0</v>
      </c>
      <c r="C10" s="3">
        <v>20.0</v>
      </c>
      <c r="D10" s="3">
        <v>4.2</v>
      </c>
      <c r="E10" s="3">
        <v>4.2</v>
      </c>
      <c r="F10" s="3" t="s">
        <v>8</v>
      </c>
      <c r="G10" s="6" t="s">
        <v>139</v>
      </c>
    </row>
    <row r="11" ht="14.25" customHeight="1">
      <c r="A11" s="4" t="s">
        <v>25</v>
      </c>
      <c r="B11" s="4">
        <v>3.0</v>
      </c>
      <c r="C11" s="4">
        <v>15.0</v>
      </c>
      <c r="D11" s="3">
        <v>6.66</v>
      </c>
      <c r="E11" s="3">
        <v>6.99</v>
      </c>
      <c r="F11" s="4" t="s">
        <v>104</v>
      </c>
      <c r="G11" s="5" t="s">
        <v>140</v>
      </c>
    </row>
    <row r="12" ht="14.25" customHeight="1">
      <c r="A12" s="4" t="s">
        <v>27</v>
      </c>
      <c r="B12" s="4">
        <v>2.0</v>
      </c>
      <c r="C12" s="4">
        <v>2.0</v>
      </c>
      <c r="D12" s="4">
        <v>5.49</v>
      </c>
      <c r="E12" s="4">
        <v>5.49</v>
      </c>
      <c r="F12" s="4" t="s">
        <v>104</v>
      </c>
      <c r="G12" s="5" t="s">
        <v>141</v>
      </c>
    </row>
    <row r="13" ht="14.25" customHeight="1">
      <c r="A13" s="4" t="s">
        <v>142</v>
      </c>
      <c r="B13" s="4">
        <v>1.0</v>
      </c>
      <c r="C13" s="4">
        <v>1.0</v>
      </c>
      <c r="D13" s="3">
        <v>9.99</v>
      </c>
      <c r="E13" s="3">
        <v>9.99</v>
      </c>
      <c r="F13" s="4" t="s">
        <v>104</v>
      </c>
      <c r="G13" s="5" t="s">
        <v>30</v>
      </c>
    </row>
    <row r="14" ht="14.25" customHeight="1">
      <c r="A14" s="4" t="s">
        <v>31</v>
      </c>
      <c r="B14" s="4">
        <v>1.0</v>
      </c>
      <c r="C14" s="4">
        <v>1.0</v>
      </c>
      <c r="D14" s="3">
        <v>15.63</v>
      </c>
      <c r="E14" s="3">
        <v>15.63</v>
      </c>
      <c r="F14" s="4" t="s">
        <v>104</v>
      </c>
      <c r="G14" s="5" t="s">
        <v>143</v>
      </c>
    </row>
    <row r="15" ht="14.25" customHeight="1">
      <c r="A15" s="4" t="s">
        <v>33</v>
      </c>
      <c r="B15" s="4">
        <v>1.0</v>
      </c>
      <c r="C15" s="4">
        <v>1.0</v>
      </c>
      <c r="D15" s="3">
        <v>22.99</v>
      </c>
      <c r="E15" s="3">
        <v>22.99</v>
      </c>
      <c r="F15" s="4" t="s">
        <v>104</v>
      </c>
      <c r="G15" s="5" t="s">
        <v>144</v>
      </c>
    </row>
    <row r="16" ht="14.25" customHeight="1">
      <c r="A16" s="4" t="s">
        <v>35</v>
      </c>
      <c r="B16" s="4">
        <v>1.0</v>
      </c>
      <c r="C16" s="4">
        <v>2.0</v>
      </c>
      <c r="D16" s="4">
        <v>11.99</v>
      </c>
      <c r="E16" s="4">
        <v>11.99</v>
      </c>
      <c r="F16" s="4" t="s">
        <v>104</v>
      </c>
      <c r="G16" s="5" t="s">
        <v>145</v>
      </c>
    </row>
    <row r="17" ht="14.25" customHeight="1">
      <c r="A17" s="4" t="s">
        <v>146</v>
      </c>
      <c r="B17" s="4">
        <v>50.0</v>
      </c>
      <c r="C17" s="4">
        <v>200.0</v>
      </c>
      <c r="D17" s="3">
        <v>9.99</v>
      </c>
      <c r="E17" s="3">
        <v>9.99</v>
      </c>
      <c r="F17" s="4" t="s">
        <v>104</v>
      </c>
      <c r="G17" s="5" t="s">
        <v>147</v>
      </c>
    </row>
    <row r="18" ht="14.25" customHeight="1">
      <c r="A18" s="4" t="s">
        <v>148</v>
      </c>
      <c r="B18" s="4">
        <v>50.0</v>
      </c>
      <c r="C18" s="4">
        <v>200.0</v>
      </c>
      <c r="D18" s="3">
        <v>9.49</v>
      </c>
      <c r="E18" s="3">
        <v>9.49</v>
      </c>
      <c r="F18" s="4" t="s">
        <v>104</v>
      </c>
      <c r="G18" s="5" t="s">
        <v>149</v>
      </c>
    </row>
    <row r="19" ht="14.25" customHeight="1">
      <c r="A19" s="4" t="s">
        <v>39</v>
      </c>
      <c r="B19" s="4">
        <v>100.0</v>
      </c>
      <c r="C19" s="4">
        <v>200.0</v>
      </c>
      <c r="D19" s="3">
        <v>8.88</v>
      </c>
      <c r="E19" s="3">
        <v>8.88</v>
      </c>
      <c r="F19" s="4" t="s">
        <v>104</v>
      </c>
      <c r="G19" s="5" t="s">
        <v>150</v>
      </c>
    </row>
    <row r="20" ht="14.25" customHeight="1">
      <c r="A20" s="4" t="s">
        <v>41</v>
      </c>
      <c r="B20" s="4">
        <v>20.0</v>
      </c>
      <c r="C20" s="4">
        <v>50.0</v>
      </c>
      <c r="D20" s="3">
        <v>9.99</v>
      </c>
      <c r="E20" s="3">
        <v>9.99</v>
      </c>
      <c r="F20" s="4" t="s">
        <v>104</v>
      </c>
      <c r="G20" s="5" t="s">
        <v>151</v>
      </c>
    </row>
    <row r="21" ht="14.25" customHeight="1">
      <c r="A21" s="4" t="s">
        <v>43</v>
      </c>
      <c r="B21" s="4">
        <v>20.0</v>
      </c>
      <c r="C21" s="3">
        <v>50.0</v>
      </c>
      <c r="D21" s="3">
        <v>6.99</v>
      </c>
      <c r="E21" s="3">
        <v>6.99</v>
      </c>
      <c r="F21" s="4" t="s">
        <v>104</v>
      </c>
      <c r="G21" s="5" t="s">
        <v>152</v>
      </c>
    </row>
    <row r="22" ht="14.25" customHeight="1">
      <c r="A22" s="4" t="s">
        <v>44</v>
      </c>
      <c r="B22" s="4">
        <v>2.0</v>
      </c>
      <c r="C22" s="3">
        <v>20.0</v>
      </c>
      <c r="D22" s="3">
        <v>7.99</v>
      </c>
      <c r="E22" s="3">
        <v>7.99</v>
      </c>
      <c r="F22" s="4" t="s">
        <v>104</v>
      </c>
      <c r="G22" s="9" t="s">
        <v>153</v>
      </c>
    </row>
    <row r="23" ht="14.25" customHeight="1">
      <c r="A23" s="3" t="s">
        <v>46</v>
      </c>
      <c r="B23" s="3">
        <v>1.0</v>
      </c>
      <c r="C23" s="3">
        <v>10.0</v>
      </c>
      <c r="D23" s="3">
        <v>14.99</v>
      </c>
      <c r="E23" s="3">
        <v>14.99</v>
      </c>
      <c r="F23" s="4" t="s">
        <v>104</v>
      </c>
      <c r="G23" s="5" t="s">
        <v>154</v>
      </c>
    </row>
    <row r="24" ht="14.25" customHeight="1">
      <c r="A24" s="4" t="s">
        <v>48</v>
      </c>
      <c r="B24" s="3">
        <v>4.0</v>
      </c>
      <c r="C24" s="3">
        <v>100.0</v>
      </c>
      <c r="D24" s="3">
        <v>8.29</v>
      </c>
      <c r="E24" s="3">
        <v>8.29</v>
      </c>
      <c r="F24" s="4" t="s">
        <v>104</v>
      </c>
      <c r="G24" s="5" t="s">
        <v>155</v>
      </c>
    </row>
    <row r="25" ht="14.25" customHeight="1">
      <c r="A25" s="4" t="s">
        <v>50</v>
      </c>
      <c r="B25" s="4">
        <v>1.0</v>
      </c>
      <c r="C25" s="4">
        <v>10.0</v>
      </c>
      <c r="D25" s="4">
        <v>15.99</v>
      </c>
      <c r="E25" s="4">
        <v>15.99</v>
      </c>
      <c r="F25" s="4" t="s">
        <v>104</v>
      </c>
      <c r="G25" s="5" t="s">
        <v>156</v>
      </c>
    </row>
    <row r="26" ht="14.25" customHeight="1">
      <c r="A26" s="4" t="s">
        <v>52</v>
      </c>
      <c r="B26" s="4">
        <v>1.0</v>
      </c>
      <c r="C26" s="3">
        <v>6.0</v>
      </c>
      <c r="D26" s="3">
        <v>16.99</v>
      </c>
      <c r="E26" s="3">
        <v>16.99</v>
      </c>
      <c r="F26" s="4" t="s">
        <v>104</v>
      </c>
      <c r="G26" s="9" t="s">
        <v>157</v>
      </c>
    </row>
    <row r="27" ht="14.25" customHeight="1">
      <c r="A27" s="4" t="s">
        <v>54</v>
      </c>
      <c r="B27" s="4">
        <v>1.0</v>
      </c>
      <c r="C27" s="4">
        <v>3.0</v>
      </c>
      <c r="D27" s="4">
        <v>6.99</v>
      </c>
      <c r="E27" s="4">
        <v>6.99</v>
      </c>
      <c r="F27" s="4" t="s">
        <v>104</v>
      </c>
      <c r="G27" s="5" t="s">
        <v>158</v>
      </c>
    </row>
    <row r="28" ht="14.25" customHeight="1">
      <c r="A28" s="4" t="s">
        <v>159</v>
      </c>
      <c r="B28" s="4">
        <v>1.0</v>
      </c>
      <c r="C28" s="4">
        <v>1.0</v>
      </c>
      <c r="D28" s="3">
        <v>9.9</v>
      </c>
      <c r="E28" s="3">
        <v>9.9</v>
      </c>
      <c r="F28" s="4" t="s">
        <v>104</v>
      </c>
      <c r="G28" s="5" t="s">
        <v>160</v>
      </c>
    </row>
    <row r="29" ht="14.25" customHeight="1">
      <c r="A29" s="4" t="s">
        <v>161</v>
      </c>
      <c r="B29" s="4">
        <v>1.0</v>
      </c>
      <c r="C29" s="4">
        <v>1.0</v>
      </c>
      <c r="D29" s="4">
        <v>11.99</v>
      </c>
      <c r="E29" s="4">
        <v>11.99</v>
      </c>
      <c r="F29" s="4" t="s">
        <v>104</v>
      </c>
      <c r="G29" s="5" t="s">
        <v>162</v>
      </c>
    </row>
    <row r="30" ht="14.25" customHeight="1">
      <c r="A30" s="4" t="s">
        <v>163</v>
      </c>
      <c r="B30" s="4">
        <v>1.0</v>
      </c>
      <c r="C30" s="4">
        <v>1.0</v>
      </c>
      <c r="D30" s="4">
        <v>21.99</v>
      </c>
      <c r="E30" s="4">
        <v>21.99</v>
      </c>
      <c r="F30" s="4" t="s">
        <v>104</v>
      </c>
      <c r="G30" s="5" t="s">
        <v>164</v>
      </c>
    </row>
    <row r="31" ht="14.25" customHeight="1">
      <c r="A31" s="4" t="s">
        <v>63</v>
      </c>
      <c r="B31" s="4">
        <v>1.0</v>
      </c>
      <c r="C31" s="4">
        <v>1.0</v>
      </c>
      <c r="D31" s="3">
        <v>14.99</v>
      </c>
      <c r="E31" s="3">
        <v>14.99</v>
      </c>
      <c r="F31" s="4" t="s">
        <v>104</v>
      </c>
      <c r="G31" s="5" t="s">
        <v>165</v>
      </c>
    </row>
    <row r="32" ht="14.25" customHeight="1">
      <c r="A32" s="4" t="s">
        <v>65</v>
      </c>
      <c r="B32" s="4">
        <v>1.0</v>
      </c>
      <c r="C32" s="4">
        <v>15.0</v>
      </c>
      <c r="D32" s="3">
        <v>5.99</v>
      </c>
      <c r="E32" s="3">
        <v>5.99</v>
      </c>
      <c r="F32" s="4" t="s">
        <v>104</v>
      </c>
      <c r="G32" s="5" t="s">
        <v>166</v>
      </c>
    </row>
    <row r="33" ht="14.25" customHeight="1">
      <c r="A33" s="4" t="s">
        <v>67</v>
      </c>
      <c r="B33" s="4">
        <v>1.0</v>
      </c>
      <c r="C33" s="3">
        <v>5.0</v>
      </c>
      <c r="D33" s="3">
        <v>3.99</v>
      </c>
      <c r="E33" s="3">
        <v>3.99</v>
      </c>
      <c r="F33" s="4" t="s">
        <v>104</v>
      </c>
      <c r="G33" s="5" t="s">
        <v>167</v>
      </c>
    </row>
    <row r="34" ht="14.25" customHeight="1">
      <c r="A34" s="4" t="s">
        <v>69</v>
      </c>
      <c r="B34" s="4" t="s">
        <v>168</v>
      </c>
      <c r="C34" s="4" t="s">
        <v>168</v>
      </c>
      <c r="D34" s="3">
        <v>11.99</v>
      </c>
      <c r="E34" s="3">
        <v>11.99</v>
      </c>
      <c r="F34" s="4" t="s">
        <v>104</v>
      </c>
      <c r="G34" s="5" t="s">
        <v>169</v>
      </c>
    </row>
    <row r="35" ht="14.25" customHeight="1">
      <c r="A35" s="4" t="s">
        <v>72</v>
      </c>
      <c r="B35" s="3">
        <v>1.0</v>
      </c>
      <c r="C35" s="3">
        <v>4.0</v>
      </c>
      <c r="D35" s="3">
        <v>9.99</v>
      </c>
      <c r="E35" s="3">
        <v>9.99</v>
      </c>
      <c r="F35" s="4" t="s">
        <v>104</v>
      </c>
      <c r="G35" s="5" t="s">
        <v>170</v>
      </c>
    </row>
    <row r="36" ht="14.25" customHeight="1">
      <c r="A36" s="4" t="s">
        <v>74</v>
      </c>
      <c r="B36" s="4">
        <v>1.0</v>
      </c>
      <c r="C36" s="4">
        <v>1.0</v>
      </c>
      <c r="D36" s="3">
        <v>12.75</v>
      </c>
      <c r="E36" s="3">
        <v>12.75</v>
      </c>
      <c r="F36" s="4" t="s">
        <v>104</v>
      </c>
      <c r="G36" s="5" t="s">
        <v>171</v>
      </c>
    </row>
    <row r="37" ht="14.25" customHeight="1">
      <c r="A37" s="4" t="s">
        <v>76</v>
      </c>
      <c r="B37" s="4">
        <v>2.0</v>
      </c>
      <c r="C37" s="4">
        <v>10.0</v>
      </c>
      <c r="D37" s="4">
        <v>4.99</v>
      </c>
      <c r="E37" s="4">
        <v>4.99</v>
      </c>
      <c r="F37" s="4" t="s">
        <v>104</v>
      </c>
      <c r="G37" s="5" t="s">
        <v>172</v>
      </c>
    </row>
    <row r="38" ht="14.25" customHeight="1">
      <c r="A38" s="4" t="s">
        <v>78</v>
      </c>
      <c r="B38" s="4">
        <v>1.0</v>
      </c>
      <c r="C38" s="4">
        <v>10.0</v>
      </c>
      <c r="D38" s="3">
        <v>7.29</v>
      </c>
      <c r="E38" s="3">
        <v>7.29</v>
      </c>
      <c r="F38" s="4" t="s">
        <v>104</v>
      </c>
      <c r="G38" s="6" t="s">
        <v>173</v>
      </c>
    </row>
    <row r="39" ht="14.25" customHeight="1">
      <c r="A39" s="4" t="s">
        <v>80</v>
      </c>
      <c r="B39" s="4">
        <v>4.0</v>
      </c>
      <c r="C39" s="4">
        <v>100.0</v>
      </c>
      <c r="D39" s="3">
        <v>4.99</v>
      </c>
      <c r="E39" s="3">
        <v>4.99</v>
      </c>
      <c r="F39" s="4" t="s">
        <v>104</v>
      </c>
      <c r="G39" s="6" t="s">
        <v>174</v>
      </c>
    </row>
    <row r="40" ht="14.25" customHeight="1">
      <c r="A40" s="3" t="s">
        <v>82</v>
      </c>
      <c r="B40" s="3">
        <v>1.0</v>
      </c>
      <c r="C40" s="3">
        <v>1.0</v>
      </c>
      <c r="D40" s="3">
        <v>9.99</v>
      </c>
      <c r="E40" s="3">
        <v>9.99</v>
      </c>
      <c r="G40" s="5" t="s">
        <v>175</v>
      </c>
    </row>
    <row r="41" ht="14.25" customHeight="1">
      <c r="A41" s="4" t="s">
        <v>84</v>
      </c>
      <c r="B41" s="4">
        <v>1.0</v>
      </c>
      <c r="C41" s="3">
        <v>20.0</v>
      </c>
      <c r="D41" s="4">
        <v>9.97</v>
      </c>
      <c r="E41" s="4">
        <v>9.97</v>
      </c>
      <c r="F41" s="4" t="s">
        <v>104</v>
      </c>
      <c r="G41" s="6" t="s">
        <v>176</v>
      </c>
    </row>
    <row r="42" ht="14.25" customHeight="1">
      <c r="A42" s="3" t="s">
        <v>86</v>
      </c>
      <c r="B42" s="4">
        <v>5.0</v>
      </c>
      <c r="C42" s="4">
        <v>100.0</v>
      </c>
      <c r="D42" s="3">
        <v>24.99</v>
      </c>
      <c r="E42" s="3">
        <v>24.99</v>
      </c>
      <c r="F42" s="4" t="s">
        <v>104</v>
      </c>
      <c r="G42" s="6" t="s">
        <v>177</v>
      </c>
    </row>
    <row r="43" ht="14.25" customHeight="1">
      <c r="A43" s="4" t="s">
        <v>103</v>
      </c>
      <c r="B43" s="4">
        <v>1.0</v>
      </c>
      <c r="C43" s="4">
        <v>1.0</v>
      </c>
      <c r="D43" s="3">
        <v>20.59</v>
      </c>
      <c r="E43" s="3">
        <v>20.59</v>
      </c>
      <c r="F43" s="4" t="s">
        <v>104</v>
      </c>
      <c r="G43" s="6" t="s">
        <v>105</v>
      </c>
    </row>
    <row r="44" ht="14.25" customHeight="1">
      <c r="A44" s="4" t="s">
        <v>90</v>
      </c>
      <c r="B44" s="4">
        <v>1.0</v>
      </c>
      <c r="C44" s="4">
        <v>1.0</v>
      </c>
      <c r="D44" s="4">
        <v>6.45</v>
      </c>
      <c r="E44" s="4">
        <v>6.45</v>
      </c>
      <c r="F44" s="4" t="s">
        <v>104</v>
      </c>
      <c r="G44" s="6" t="s">
        <v>178</v>
      </c>
    </row>
    <row r="45" ht="14.25" customHeight="1">
      <c r="A45" s="4" t="s">
        <v>92</v>
      </c>
      <c r="B45" s="4">
        <v>1.0</v>
      </c>
      <c r="C45" s="4">
        <v>5.0</v>
      </c>
      <c r="D45" s="4">
        <v>6.99</v>
      </c>
      <c r="E45" s="4">
        <v>6.99</v>
      </c>
      <c r="F45" s="4" t="s">
        <v>104</v>
      </c>
      <c r="G45" s="6" t="s">
        <v>179</v>
      </c>
    </row>
    <row r="46" ht="14.25" customHeight="1">
      <c r="A46" s="4" t="s">
        <v>94</v>
      </c>
      <c r="B46" s="4">
        <v>1.0</v>
      </c>
      <c r="C46" s="4">
        <v>1.0</v>
      </c>
      <c r="D46" s="3">
        <v>9.99</v>
      </c>
      <c r="E46" s="3">
        <v>9.99</v>
      </c>
      <c r="F46" s="4" t="s">
        <v>104</v>
      </c>
      <c r="G46" s="6" t="s">
        <v>180</v>
      </c>
    </row>
    <row r="47" ht="14.25" customHeight="1">
      <c r="A47" s="3" t="s">
        <v>181</v>
      </c>
      <c r="B47" s="3">
        <v>1.0</v>
      </c>
      <c r="C47" s="3">
        <v>1.0</v>
      </c>
      <c r="D47" s="3">
        <v>25.98</v>
      </c>
      <c r="E47" s="3">
        <v>25.98</v>
      </c>
      <c r="F47" s="3" t="s">
        <v>104</v>
      </c>
      <c r="G47" s="5" t="s">
        <v>182</v>
      </c>
    </row>
    <row r="48" ht="14.25" customHeight="1">
      <c r="A48" s="4" t="s">
        <v>99</v>
      </c>
      <c r="B48" s="4">
        <v>1.0</v>
      </c>
      <c r="C48" s="4">
        <v>1.0</v>
      </c>
      <c r="D48" s="3">
        <v>6.99</v>
      </c>
      <c r="E48" s="3">
        <v>6.99</v>
      </c>
      <c r="F48" s="4" t="s">
        <v>104</v>
      </c>
      <c r="G48" s="6" t="s">
        <v>183</v>
      </c>
    </row>
    <row r="49" ht="14.25" customHeight="1">
      <c r="A49" s="3" t="s">
        <v>101</v>
      </c>
      <c r="B49" s="3">
        <v>1.0</v>
      </c>
      <c r="C49" s="3">
        <v>1.0</v>
      </c>
      <c r="D49" s="3">
        <v>7.99</v>
      </c>
      <c r="E49" s="3">
        <v>7.99</v>
      </c>
      <c r="F49" s="3" t="s">
        <v>104</v>
      </c>
      <c r="G49" s="5" t="s">
        <v>184</v>
      </c>
    </row>
    <row r="50" ht="14.25" customHeight="1">
      <c r="A50" s="4" t="s">
        <v>106</v>
      </c>
      <c r="B50" s="4">
        <v>16.0</v>
      </c>
      <c r="C50" s="3">
        <v>30.0</v>
      </c>
      <c r="D50" s="3">
        <v>6.99</v>
      </c>
      <c r="E50" s="3">
        <f>D49</f>
        <v>7.99</v>
      </c>
      <c r="F50" s="3" t="s">
        <v>104</v>
      </c>
      <c r="G50" s="5" t="s">
        <v>107</v>
      </c>
    </row>
    <row r="51" ht="14.25" customHeight="1">
      <c r="A51" s="4" t="s">
        <v>108</v>
      </c>
      <c r="B51" s="4">
        <v>16.0</v>
      </c>
      <c r="C51" s="3">
        <v>30.0</v>
      </c>
      <c r="D51" s="3">
        <v>7.49</v>
      </c>
      <c r="E51" s="3">
        <f>D51</f>
        <v>7.49</v>
      </c>
      <c r="F51" s="3" t="s">
        <v>104</v>
      </c>
      <c r="G51" s="12" t="s">
        <v>109</v>
      </c>
    </row>
    <row r="52" ht="14.25" customHeight="1">
      <c r="A52" s="4" t="s">
        <v>110</v>
      </c>
      <c r="B52" s="4">
        <v>1.0</v>
      </c>
      <c r="C52" s="4">
        <v>1.0</v>
      </c>
      <c r="D52" s="3">
        <v>1.99</v>
      </c>
      <c r="E52" s="3">
        <v>1.99</v>
      </c>
      <c r="F52" s="4" t="s">
        <v>111</v>
      </c>
      <c r="G52" s="6" t="s">
        <v>112</v>
      </c>
    </row>
    <row r="53" ht="14.25" customHeight="1">
      <c r="A53" s="4" t="s">
        <v>113</v>
      </c>
      <c r="B53" s="4">
        <v>1.0</v>
      </c>
      <c r="C53" s="4">
        <v>1.0</v>
      </c>
      <c r="D53" s="3">
        <v>3.11</v>
      </c>
      <c r="E53" s="3">
        <v>3.11</v>
      </c>
      <c r="F53" s="3" t="s">
        <v>114</v>
      </c>
      <c r="G53" s="6" t="s">
        <v>115</v>
      </c>
    </row>
    <row r="54" ht="14.25" customHeight="1">
      <c r="A54" s="4" t="s">
        <v>116</v>
      </c>
      <c r="B54" s="4">
        <v>1.0</v>
      </c>
      <c r="C54" s="4">
        <v>1.0</v>
      </c>
      <c r="D54" s="3">
        <v>0.59</v>
      </c>
      <c r="E54" s="3">
        <v>0.59</v>
      </c>
      <c r="F54" s="4" t="s">
        <v>111</v>
      </c>
      <c r="G54" s="9" t="s">
        <v>117</v>
      </c>
    </row>
    <row r="55">
      <c r="E55" s="4">
        <f>sum(E2:E54)</f>
        <v>551.78</v>
      </c>
    </row>
    <row r="57" ht="14.25" customHeight="1">
      <c r="A57" s="13" t="s">
        <v>118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4.25" customHeight="1"/>
    <row r="59" ht="14.25" customHeight="1">
      <c r="A59" s="3" t="s">
        <v>119</v>
      </c>
      <c r="B59" s="3">
        <v>1.0</v>
      </c>
      <c r="C59" s="3">
        <v>1.0</v>
      </c>
      <c r="D59" s="3">
        <v>19.99</v>
      </c>
      <c r="E59" s="3">
        <v>19.99</v>
      </c>
      <c r="F59" s="3" t="s">
        <v>104</v>
      </c>
      <c r="G59" s="5" t="s">
        <v>120</v>
      </c>
    </row>
    <row r="60" ht="14.25" customHeight="1">
      <c r="A60" s="3" t="s">
        <v>121</v>
      </c>
      <c r="B60" s="3">
        <v>1.0</v>
      </c>
      <c r="C60" s="3">
        <v>1.0</v>
      </c>
      <c r="D60" s="3">
        <v>14.29</v>
      </c>
      <c r="E60" s="3">
        <v>14.29</v>
      </c>
      <c r="F60" s="3" t="s">
        <v>104</v>
      </c>
      <c r="G60" s="5" t="s">
        <v>122</v>
      </c>
    </row>
    <row r="61" ht="14.25" customHeight="1">
      <c r="A61" s="3" t="s">
        <v>123</v>
      </c>
      <c r="D61" s="15">
        <v>70.0</v>
      </c>
      <c r="F61" s="3" t="s">
        <v>13</v>
      </c>
      <c r="G61" s="5" t="s">
        <v>124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hyperlinks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9"/>
    <hyperlink r:id="rId56" ref="G60"/>
    <hyperlink r:id="rId57" ref="G61"/>
  </hyperlinks>
  <printOptions/>
  <pageMargins bottom="0.75" footer="0.0" header="0.0" left="0.7" right="0.7" top="0.75"/>
  <pageSetup orientation="portrait"/>
  <drawing r:id="rId58"/>
  <legacy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5.14"/>
    <col customWidth="1" min="3" max="3" width="13.43"/>
    <col customWidth="1" min="4" max="4" width="10.71"/>
    <col customWidth="1" min="5" max="5" width="9.29"/>
    <col customWidth="1" min="6" max="6" width="68.29"/>
    <col customWidth="1" min="7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4</v>
      </c>
      <c r="E1" s="1" t="s">
        <v>5</v>
      </c>
      <c r="F1" s="1" t="s">
        <v>6</v>
      </c>
    </row>
    <row r="2" ht="14.25" customHeight="1">
      <c r="A2" s="3" t="s">
        <v>129</v>
      </c>
      <c r="B2" s="4">
        <v>1.0</v>
      </c>
      <c r="C2" s="4">
        <v>1.0</v>
      </c>
      <c r="D2" s="3">
        <v>19.95</v>
      </c>
      <c r="E2" s="3" t="s">
        <v>130</v>
      </c>
      <c r="F2" s="5" t="s">
        <v>131</v>
      </c>
    </row>
    <row r="3" ht="14.25" customHeight="1">
      <c r="A3" s="4" t="s">
        <v>10</v>
      </c>
      <c r="B3" s="4">
        <v>1.0</v>
      </c>
      <c r="C3" s="4">
        <v>1.0</v>
      </c>
      <c r="D3" s="4">
        <v>13.95</v>
      </c>
      <c r="E3" s="4" t="s">
        <v>130</v>
      </c>
      <c r="F3" s="6" t="s">
        <v>185</v>
      </c>
    </row>
    <row r="4" ht="14.25" customHeight="1">
      <c r="A4" s="4" t="s">
        <v>133</v>
      </c>
      <c r="B4" s="4">
        <v>1.0</v>
      </c>
      <c r="C4" s="4">
        <v>1.0</v>
      </c>
      <c r="D4" s="4">
        <v>14.95</v>
      </c>
      <c r="E4" s="4" t="s">
        <v>130</v>
      </c>
      <c r="F4" s="6" t="s">
        <v>186</v>
      </c>
    </row>
    <row r="5" ht="14.25" customHeight="1">
      <c r="A5" s="4" t="s">
        <v>15</v>
      </c>
      <c r="B5" s="4">
        <v>1.0</v>
      </c>
      <c r="C5" s="4">
        <v>1.0</v>
      </c>
      <c r="D5" s="4">
        <v>7.5</v>
      </c>
      <c r="E5" s="4" t="s">
        <v>130</v>
      </c>
      <c r="F5" s="6" t="s">
        <v>187</v>
      </c>
    </row>
    <row r="6" ht="14.25" customHeight="1">
      <c r="A6" s="4" t="s">
        <v>17</v>
      </c>
      <c r="B6" s="4">
        <v>1.0</v>
      </c>
      <c r="C6" s="4">
        <v>1.0</v>
      </c>
      <c r="D6" s="4">
        <v>6.95</v>
      </c>
      <c r="E6" s="4" t="s">
        <v>130</v>
      </c>
      <c r="F6" s="6" t="s">
        <v>188</v>
      </c>
    </row>
    <row r="7" ht="14.25" customHeight="1">
      <c r="A7" s="4" t="s">
        <v>137</v>
      </c>
      <c r="B7" s="4">
        <v>1.0</v>
      </c>
      <c r="C7" s="4">
        <v>1.0</v>
      </c>
      <c r="D7" s="4">
        <v>6.95</v>
      </c>
      <c r="E7" s="4" t="s">
        <v>130</v>
      </c>
      <c r="F7" s="6" t="s">
        <v>189</v>
      </c>
    </row>
    <row r="8" ht="14.25" customHeight="1">
      <c r="A8" s="3" t="s">
        <v>21</v>
      </c>
      <c r="B8" s="4">
        <v>4.0</v>
      </c>
      <c r="C8" s="4">
        <v>1.0</v>
      </c>
      <c r="D8" s="3">
        <f>3.66*4</f>
        <v>14.64</v>
      </c>
      <c r="E8" s="3" t="s">
        <v>8</v>
      </c>
      <c r="F8" s="5" t="s">
        <v>22</v>
      </c>
    </row>
    <row r="9" ht="14.25" customHeight="1">
      <c r="A9" s="3" t="s">
        <v>23</v>
      </c>
      <c r="B9" s="3">
        <v>1.0</v>
      </c>
      <c r="C9" s="3">
        <v>1.0</v>
      </c>
      <c r="D9" s="8">
        <v>1.08</v>
      </c>
      <c r="E9" s="3" t="s">
        <v>8</v>
      </c>
      <c r="F9" s="9" t="s">
        <v>24</v>
      </c>
    </row>
    <row r="10" ht="14.25" customHeight="1">
      <c r="A10" s="4" t="s">
        <v>27</v>
      </c>
      <c r="B10" s="4">
        <v>2.0</v>
      </c>
      <c r="C10" s="4">
        <v>2.0</v>
      </c>
      <c r="D10" s="4">
        <v>5.49</v>
      </c>
      <c r="E10" s="4" t="s">
        <v>104</v>
      </c>
      <c r="F10" s="5" t="s">
        <v>141</v>
      </c>
    </row>
    <row r="11" ht="14.25" customHeight="1">
      <c r="A11" s="4" t="s">
        <v>142</v>
      </c>
      <c r="B11" s="4">
        <v>1.0</v>
      </c>
      <c r="C11" s="4">
        <v>1.0</v>
      </c>
      <c r="D11" s="3">
        <v>9.99</v>
      </c>
      <c r="E11" s="4" t="s">
        <v>104</v>
      </c>
      <c r="F11" s="5" t="s">
        <v>30</v>
      </c>
    </row>
    <row r="12" ht="14.25" customHeight="1">
      <c r="A12" s="4" t="s">
        <v>33</v>
      </c>
      <c r="B12" s="4">
        <v>1.0</v>
      </c>
      <c r="C12" s="4">
        <v>1.0</v>
      </c>
      <c r="D12" s="3">
        <v>22.99</v>
      </c>
      <c r="E12" s="4" t="s">
        <v>104</v>
      </c>
      <c r="F12" s="5" t="s">
        <v>144</v>
      </c>
    </row>
    <row r="13" ht="14.25" customHeight="1">
      <c r="A13" s="4" t="s">
        <v>159</v>
      </c>
      <c r="B13" s="4">
        <v>1.0</v>
      </c>
      <c r="C13" s="4">
        <v>1.0</v>
      </c>
      <c r="D13" s="3">
        <v>9.9</v>
      </c>
      <c r="E13" s="4" t="s">
        <v>104</v>
      </c>
      <c r="F13" s="5" t="s">
        <v>160</v>
      </c>
    </row>
    <row r="14" ht="14.25" customHeight="1">
      <c r="A14" s="4" t="s">
        <v>69</v>
      </c>
      <c r="B14" s="4" t="s">
        <v>168</v>
      </c>
      <c r="C14" s="4" t="s">
        <v>168</v>
      </c>
      <c r="D14" s="3">
        <v>11.99</v>
      </c>
      <c r="E14" s="4" t="s">
        <v>104</v>
      </c>
      <c r="F14" s="5" t="s">
        <v>169</v>
      </c>
    </row>
    <row r="15" ht="14.25" customHeight="1">
      <c r="A15" s="4" t="s">
        <v>74</v>
      </c>
      <c r="B15" s="4">
        <v>1.0</v>
      </c>
      <c r="C15" s="4">
        <v>1.0</v>
      </c>
      <c r="D15" s="3">
        <v>12.75</v>
      </c>
      <c r="E15" s="4" t="s">
        <v>104</v>
      </c>
      <c r="F15" s="5" t="s">
        <v>171</v>
      </c>
    </row>
    <row r="16" ht="14.25" customHeight="1">
      <c r="A16" s="3" t="s">
        <v>82</v>
      </c>
      <c r="B16" s="3">
        <v>1.0</v>
      </c>
      <c r="C16" s="3">
        <v>1.0</v>
      </c>
      <c r="D16" s="3">
        <v>9.99</v>
      </c>
      <c r="E16" s="4" t="s">
        <v>104</v>
      </c>
      <c r="F16" s="5" t="s">
        <v>175</v>
      </c>
    </row>
    <row r="17" ht="14.25" customHeight="1">
      <c r="A17" s="4" t="s">
        <v>90</v>
      </c>
      <c r="B17" s="4">
        <v>1.0</v>
      </c>
      <c r="C17" s="4">
        <v>1.0</v>
      </c>
      <c r="D17" s="4">
        <v>6.45</v>
      </c>
      <c r="E17" s="4" t="s">
        <v>104</v>
      </c>
      <c r="F17" s="6" t="s">
        <v>190</v>
      </c>
    </row>
    <row r="18" ht="14.25" customHeight="1">
      <c r="A18" s="3" t="s">
        <v>181</v>
      </c>
      <c r="B18" s="3">
        <v>1.0</v>
      </c>
      <c r="C18" s="3">
        <v>1.0</v>
      </c>
      <c r="D18" s="3">
        <v>25.98</v>
      </c>
      <c r="E18" s="3" t="s">
        <v>104</v>
      </c>
      <c r="F18" s="5" t="s">
        <v>182</v>
      </c>
    </row>
    <row r="19" ht="14.25" customHeight="1">
      <c r="A19" s="4" t="s">
        <v>106</v>
      </c>
      <c r="B19" s="4">
        <v>16.0</v>
      </c>
      <c r="C19" s="3">
        <v>30.0</v>
      </c>
      <c r="D19" s="3">
        <v>6.99</v>
      </c>
      <c r="E19" s="3" t="s">
        <v>104</v>
      </c>
      <c r="F19" s="5" t="s">
        <v>107</v>
      </c>
    </row>
    <row r="20" ht="14.25" customHeight="1">
      <c r="A20" s="4" t="s">
        <v>108</v>
      </c>
      <c r="B20" s="4">
        <v>16.0</v>
      </c>
      <c r="C20" s="3">
        <v>30.0</v>
      </c>
      <c r="D20" s="3">
        <v>7.49</v>
      </c>
      <c r="E20" s="3" t="s">
        <v>104</v>
      </c>
      <c r="F20" s="12" t="s">
        <v>109</v>
      </c>
    </row>
    <row r="21" ht="14.25" customHeight="1">
      <c r="A21" s="4" t="s">
        <v>110</v>
      </c>
      <c r="B21" s="4">
        <v>1.0</v>
      </c>
      <c r="C21" s="4">
        <v>1.0</v>
      </c>
      <c r="D21" s="3">
        <v>1.99</v>
      </c>
      <c r="E21" s="3" t="s">
        <v>104</v>
      </c>
      <c r="F21" s="6" t="s">
        <v>112</v>
      </c>
    </row>
    <row r="22" ht="14.25" customHeight="1">
      <c r="A22" s="4" t="s">
        <v>113</v>
      </c>
      <c r="B22" s="4">
        <v>1.0</v>
      </c>
      <c r="C22" s="4">
        <v>1.0</v>
      </c>
      <c r="D22" s="3">
        <v>3.11</v>
      </c>
      <c r="E22" s="3" t="s">
        <v>114</v>
      </c>
      <c r="F22" s="6" t="s">
        <v>115</v>
      </c>
    </row>
    <row r="23" ht="14.25" customHeight="1">
      <c r="A23" s="4" t="s">
        <v>116</v>
      </c>
      <c r="B23" s="4">
        <v>1.0</v>
      </c>
      <c r="C23" s="4">
        <v>1.0</v>
      </c>
      <c r="D23" s="3">
        <v>0.59</v>
      </c>
      <c r="E23" s="4" t="s">
        <v>111</v>
      </c>
      <c r="F23" s="9" t="s">
        <v>117</v>
      </c>
    </row>
    <row r="24" ht="14.25" customHeight="1"/>
    <row r="25" ht="14.25" customHeight="1">
      <c r="D25" s="4">
        <f>sum(D2:D23)</f>
        <v>221.67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</hyperlinks>
  <printOptions/>
  <pageMargins bottom="0.75" footer="0.0" header="0.0" left="0.7" right="0.7" top="0.75"/>
  <pageSetup orientation="portrait"/>
  <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Sebastian Cocioba</dc:creator>
</cp:coreProperties>
</file>