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11-24" sheetId="1" r:id="rId4"/>
    <sheet state="visible" name="Second bot parts" sheetId="2" r:id="rId5"/>
  </sheets>
  <definedNames/>
  <calcPr/>
  <extLst>
    <ext uri="GoogleSheetsCustomDataVersion2">
      <go:sheetsCustomData xmlns:go="http://customooxmlschemas.google.com/" r:id="rId6" roundtripDataChecksum="sWBYIaQACZgFXjWclPZBCLScE3cRk5fPpm30900vdUA="/>
    </ext>
  </extLst>
</workbook>
</file>

<file path=xl/sharedStrings.xml><?xml version="1.0" encoding="utf-8"?>
<sst xmlns="http://schemas.openxmlformats.org/spreadsheetml/2006/main" count="294" uniqueCount="131">
  <si>
    <t>Part Name</t>
  </si>
  <si>
    <t>Quantity Needed</t>
  </si>
  <si>
    <t>Retail Quantity</t>
  </si>
  <si>
    <t>Unit price</t>
  </si>
  <si>
    <t>Price for all</t>
  </si>
  <si>
    <t>Vendor</t>
  </si>
  <si>
    <t>URL</t>
  </si>
  <si>
    <t>IC I2C TB6612 Mosfet Stepper Motor PCA9685 Servo Driver Shield V2 For Robot PWM Mega R3</t>
  </si>
  <si>
    <t>AliExpress</t>
  </si>
  <si>
    <t>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</t>
  </si>
  <si>
    <t>Adafruit DS3231 Real-Time Clock</t>
  </si>
  <si>
    <t>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</t>
  </si>
  <si>
    <t>TLC5947 module 12-Bit 24-Channel PWM LED Driver Module With Internal Oscillator 12 Bit 3-5.5V</t>
  </si>
  <si>
    <t>Alibaba</t>
  </si>
  <si>
    <t>https://www.alibaba.com/product-detail/TLC5947-module-12-Bit-24-Channel_62586041214.html?spm=a2700.galleryofferlist.normal_offer.d_title.3fb413a0GBOiNw&amp;priceId=47e17c71cdde4774b84ecf4fa5e1e2d3</t>
  </si>
  <si>
    <t>Adafruit DRV8871 DC Motor Controller</t>
  </si>
  <si>
    <t>https://www.aliexpress.us/item/3256809806051721.html?spm=a2g0o.productlist.main.6.52b039c5o3jft4&amp;algo_pvid=25557c5a-5483-48cb-9936-965b7b127e3d&amp;algo_exp_id=25557c5a-5483-48cb-9936-965b7b127e3d-5&amp;pdp_ext_f=%7B%22order%22%3A%2295%22%2C%22eval%22%3A%221%22%2C%22fromPage%22%3A%22search%22%7D&amp;pdp_npi=6%40dis%21USD%212.60%212.53%21%21%2118.31%2117.84%21%402101e2b217646180632656557edd06%2112000050782541047%21sea%21US%21747277411%21X%211%210%21n_tag%3A-29919%3Bd%3Aab21f4a7%3Bm03_new_user%3A-29895&amp;curPageLogUid=Eqp3fZFoM7K1&amp;utparam-url=scene%3Asearch%7Cquery_from%3A%7Cx_object_id%3A1005009992366473%7C_p_origin_prod%3A</t>
  </si>
  <si>
    <t>TSL2591 Light Sensor</t>
  </si>
  <si>
    <t>https://www.alibaba.com/product-detail/TSL2591-Digital-Light-Sensor-Breakout-Module_1601221697469.html?spm=a2700.galleryofferlist.normal_offer.d_title.454113a0p2WtNN&amp;priceId=1204ae311b9d4177a32bed3a3f9af1b0</t>
  </si>
  <si>
    <t>TCA9548A I2C Multiplexer Module – 1-to-8 Channel Expansion Board for IIC Bus (8-Way</t>
  </si>
  <si>
    <r>
      <rPr>
        <color rgb="FF1155CC"/>
        <u/>
      </rPr>
      <t>https://www.adafruit.com/product/2717</t>
    </r>
    <r>
      <rPr/>
      <t xml:space="preserve"> </t>
    </r>
  </si>
  <si>
    <t>DC Motor Peristaltic Pump</t>
  </si>
  <si>
    <t>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</t>
  </si>
  <si>
    <t>PTC Heating Plate 80C</t>
  </si>
  <si>
    <t>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</t>
  </si>
  <si>
    <t>Waterproof Button</t>
  </si>
  <si>
    <t>https://www.aliexpress.us/item/3256803116546507.html?spm=a2g0o.productlist.main.3.512523b3vhbmVX&amp;algo_pvid=e1ba1260-de8f-49af-bf56-79db9215f60f&amp;algo_exp_id=e1ba1260-de8f-49af-bf56-79db9215f60f-2&amp;pdp_ext_f=%7B%22order%22%3A%22561%22%2C%22eval%22%3A%221%22%2C%22fromPage%22%3A%22search%22%7D&amp;pdp_npi=6%40dis%21USD%213.17%212.97%21%21%2122.28%2120.88%21%402101c44517646184329484367e5038%2112000035351804949%21sea%21US%21747277411%21X%211%210%21n_tag%3A-29919%3Bd%3Aab21f4a7%3Bm03_new_user%3A-29895&amp;curPageLogUid=xL4qqrG5PEyM&amp;utparam-url=scene%3Asearch%7Cquery_from%3A%7Cx_object_id%3A1005003302861259%7C_p_origin_prod%3A</t>
  </si>
  <si>
    <t>5mm x 300mm Steel Rod</t>
  </si>
  <si>
    <t>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</t>
  </si>
  <si>
    <t>Serial IIC I2C TWI 2004 204 20*4 English &amp; Japanese Character LCD Module Display Panel Screen for Arduino</t>
  </si>
  <si>
    <t xml:space="preserve">https://www.amazon.com/gp/product/B07TXGD3WS/ref=ppx_yo_dt_b_search_asin_title?ie=UTF8&amp;psc=1 </t>
  </si>
  <si>
    <t>Matte Black PLA Filament</t>
  </si>
  <si>
    <t>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</t>
  </si>
  <si>
    <t>Arduino MEGA 2560 R3</t>
  </si>
  <si>
    <t>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</t>
  </si>
  <si>
    <t>12v to 5v Converter</t>
  </si>
  <si>
    <t>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</t>
  </si>
  <si>
    <t>Pin Connector</t>
  </si>
  <si>
    <t>https://www.aliexpress.us/item/3256806077264771.html?spm=a2</t>
  </si>
  <si>
    <t>Pin Connector Housing</t>
  </si>
  <si>
    <t>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</t>
  </si>
  <si>
    <t>M2.5 x 10mm Female Standoff</t>
  </si>
  <si>
    <t>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</t>
  </si>
  <si>
    <t>M3 x 10mm Female Standoff</t>
  </si>
  <si>
    <t xml:space="preserve">Dispensing Needle 14ga 4" </t>
  </si>
  <si>
    <t>https://www.aliexpress.us/item/3256806422675515.html?spm=a2g0o.productlist.main.39.6ceb6c10UQ7sWW&amp;utparam-url=scene%3AimageSearch%7Cquery_from%3Apc_back_same_best%7Cx_object_id%3A1005006608990267%7C_p_origin_prod%3A&amp;algo_pvid=bcc55953-63de-46b1-aace-2dabab5b5f9e&amp;algo_exp_id=bcc55953-63de-46b1-aace-2dabab5b5f9e&amp;pdp_ext_f=%7B%22order%22%3A%22250%22%2C%22fromPage%22%3A%22search%22%7D&amp;pdp_npi=6%40dis%21USD%215.00%215.00%21%21%2135.16%2135.16%21%402101d9ef17649160354633506e55d3%2112000037811339107%21sea%21US%21747277411%21X%211%210%21n_tag%3A-29919%3Bd%3Aab21f4a7%3Bm03_new_user%3A-29895&amp;gatewayAdapt=4itemAdapt</t>
  </si>
  <si>
    <t>10 Pack - Dispensing Needle 10G x 5" - Blunt Tip, Luer Lock, All Metal (Stainless Steel)</t>
  </si>
  <si>
    <t>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</t>
  </si>
  <si>
    <t xml:space="preserve">Dispensing Needle 14ga 1.5" </t>
  </si>
  <si>
    <t>https://www.aliexpress.us/item/3256808088472590.html?spm=a2g0o.productlist.main.10.61044bb48N9qJI&amp;algo_pvid=82ef8283-ab99-4cf9-a08e-b16617b9f412&amp;algo_exp_id=82ef8283-ab99-4cf9-a08e-b16617b9f412-9&amp;pdp_ext_f=%7B%22order%22%3A%22122%22%2C%22eval%22%3A%221%22%2C%22fromPage%22%3A%22search%22%7D&amp;pdp_npi=6%40dis%21USD%213.68%213.68%21%21%2125.89%2125.89%21%402103126e17649163962338464e138d%2112000044448400889%21sea%21US%21747277411%21X%211%210%21n_tag%3A-29919%3Bd%3Aab21f4a7%3Bm03_new_user%3A-29895&amp;curPageLogUid=Nd4i0lxbjFsQ&amp;utparam-url=scene%3Asearch%7Cquery_from%3A%7Cx_object_id%3A1005008274787342%7C_p_origin_prod%3A</t>
  </si>
  <si>
    <t>8mm x 20mm olive-shaped stir bar</t>
  </si>
  <si>
    <t>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</t>
  </si>
  <si>
    <t>90mL Glass Vial</t>
  </si>
  <si>
    <t>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</t>
  </si>
  <si>
    <t>Barrel Jack Connector 5.5x2.1mm</t>
  </si>
  <si>
    <t>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</t>
  </si>
  <si>
    <t>Industrial MicroSD Card 32Gb</t>
  </si>
  <si>
    <t>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</t>
  </si>
  <si>
    <t>M2.5 Hex Screw Kit 4mm, 10mm</t>
  </si>
  <si>
    <t>50 each</t>
  </si>
  <si>
    <t>https://www.aliexpress.us/item/3256803907721123.html?spm=a2g0o.productlist.main.1.4a8f5c21Q5FkJ2&amp;algo_pvid=33eb0c89-3ee4-4e59-bca6-64ef50b50217&amp;algo_exp_id=33eb0c89-3ee4-4e59-bca6-64ef50b50217-0&amp;pdp_ext_f=%7B%22order%22%3A%22716%22%2C%22eval%22%3A%221%22%2C%22fromPage%22%3A%22search%22%7D&amp;pdp_npi=6%40dis%21USD%217.17%217.17%21%21%217.17%217.17%21%402101dedf17649680763022169e395a%2112000028013096838%21sea%21US%21747277411%21X%211%210%21n_tag%3A-29919%3Bd%3Aab21f4a7%3Bm03_new_user%3A-29895&amp;curPageLogUid=memrVmdLUUmt&amp;utparam-url=scene%3Asearch%7Cquery_from%3A%7Cx_object_id%3A1005004094035875%7C_p_origin_prod%3A</t>
  </si>
  <si>
    <t>M3 Hex Screw Kit 4mm, 10mm, 20mm</t>
  </si>
  <si>
    <t>https://www.aliexpress.us/item/2251832793785357.html?spm=a2g0o.productlist.main.11.bdc874o274o2US&amp;algo_pvid=de12a7fc-78fb-4f73-8647-2b32aad200cd&amp;algo_exp_id=de12a7fc-78fb-4f73-8647-2b32aad200cd-10&amp;pdp_ext_f=%7B%22order%22%3A%22212%22%2C%22eval%22%3A%221%22%2C%22fromPage%22%3A%22search%22%7D&amp;pdp_npi=6%40dis%21USD%211.45%211.45%21%21%211.45%211.45%21%402103274e17649683567607759e4e8e%2112000029598809782%21sea%21US%21747277411%21X%211%210%21n_tag%3A-29919%3Bd%3Aab21f4a7%3Bm03_new_user%3A-29895&amp;curPageLogUid=0Fh3A0FxOjEa&amp;utparam-url=scene%3Asearch%7Cquery_from%3A%7Cx_object_id%3A32980100109%7C_p_origin_prod%3A</t>
  </si>
  <si>
    <t>Double Sided Tape Heavy Duty</t>
  </si>
  <si>
    <t>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</t>
  </si>
  <si>
    <t xml:space="preserve">Rocker Switch </t>
  </si>
  <si>
    <t>https://www.aliexpress.us/item/2251832687071918.html?spm=a2g0o.productlist.main.39.5f1353d0CXqf4A&amp;algo_pvid=fc3623f9-40e9-4f9c-ab5a-f3ac1dbe8502&amp;algo_exp_id=fc3623f9-40e9-4f9c-ab5a-f3ac1dbe8502-38&amp;pdp_ext_f=%7B%22order%22%3A%223519%22%2C%22eval%22%3A%221%22%2C%22fromPage%22%3A%22search%22%7D&amp;pdp_npi=6%40dis%21USD%211.43%211.43%21%21%211.43%211.43%21%4021030a4b17649688537392129e153b%2165526366999%21sea%21US%21747277411%21X%211%210%21n_tag%3A-29919%3Bd%3Aab21f4a7%3Bm03_new_user%3A-29895&amp;curPageLogUid=4V8XkcMblquU&amp;utparam-url=scene%3Asearch%7Cquery_from%3A%7Cx_object_id%3A32873386670%7C_p_origin_prod%3A</t>
  </si>
  <si>
    <t>CR1220 Lithium Battery</t>
  </si>
  <si>
    <t>https://www.aliexpress.us/item/3256808697007607.html?spm=a2g0o.productlist.main.3.28a47c79j6IJaT&amp;algo_pvid=24dd33cc-af44-483f-9005-8d680118d8ab&amp;algo_exp_id=24dd33cc-af44-483f-9005-8d680118d8ab-2&amp;pdp_ext_f=%7B%22order%22%3A%22102%22%2C%22eval%22%3A%221%22%2C%22fromPage%22%3A%22search%22%7D&amp;pdp_npi=6%40dis%21USD%213.18%212.38%21%21%2122.35%2116.76%21%40210325a917649690688323567e2f4a%2112000047075772143%21sea%21US%21747277411%21X%211%210%21n_tag%3A-29919%3Bd%3Aab21f4a7%3Bm03_new_user%3A-29895&amp;curPageLogUid=drx6CjwDRf4p&amp;utparam-url=scene%3Asearch%7Cquery_from%3A%7Cx_object_id%3A1005008883322359%7C_p_origin_prod%3A</t>
  </si>
  <si>
    <t>Silicone Tubing 1/8" ID x 1/4" OD</t>
  </si>
  <si>
    <t>5m</t>
  </si>
  <si>
    <t>https://www.aliexpress.us/item/3256807463903641.html?spm=a2g0o.productlist.main.22.3adb2ef2Ts6kxo&amp;algo_pvid=3563170c-b7c9-4d8f-9f66-7bc7fc022c29&amp;algo_exp_id=3563170c-b7c9-4d8f-9f66-7bc7fc022c29-21&amp;pdp_ext_f=%7B%22order%22%3A%2216%22%2C%22eval%22%3A%221%22%2C%22fromPage%22%3A%22search%22%7D&amp;pdp_npi=6%40dis%21USD%218.74%215.68%21%21%2161.41%2139.92%21%4021033d1217649691300721760e2784%2112000041651551254%21sea%21US%21747277411%21X%211%210%21n_tag%3A-29919%3Bd%3Aab21f4a7%3Bm03_new_user%3A-29895&amp;curPageLogUid=STi7P96EXRlY&amp;utparam-url=scene%3Asearch%7Cquery_from%3A%7Cx_object_id%3A1005007650218393%7C_p_origin_prod%3A</t>
  </si>
  <si>
    <t>L298N Motor Controller</t>
  </si>
  <si>
    <t>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</t>
  </si>
  <si>
    <t>Female Pin Header Kit</t>
  </si>
  <si>
    <t>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</t>
  </si>
  <si>
    <t>Male Pin Header Strips</t>
  </si>
  <si>
    <t>https://www.aliexpress.us/item/3256809164675006.html?spm=a2g0o.productlist.main.5.55d69Ihf9IhfBc&amp;algo_pvid=84cf6a6d-a99d-48c9-bb7a-deaba1877756&amp;algo_exp_id=84cf6a6d-a99d-48c9-bb7a-deaba1877756-4&amp;pdp_ext_f=%7B%22order%22%3A%22937%22%2C%22eval%22%3A%221%22%2C%22orig_sl_item_id%22%3A%221005009350989758%22%2C%22orig_item_id%22%3A%221005009370767269%22%2C%22fromPage%22%3A%22search%22%7D&amp;pdp_npi=6%40dis%21USD%213.93%211.97%21%21%2127.60%2113.80%21%402101e2b417649696165324905eaf47%2112000048841055747%21sea%21US%21747277411%21X%211%210%21n_tag%3A-29919%3Bd%3Aab21f4a7%3Bm03_new_user%3A-29895&amp;curPageLogUid=NwdbH9P0lvf9&amp;utparam-url=scene%3Asearch%7Cquery_from%3A%7Cx_object_id%3A1005009350989758%7C_p_origin_prod%3A1005009370767269</t>
  </si>
  <si>
    <t>Male Pin Header Right Angle Strips</t>
  </si>
  <si>
    <t>https://www.aliexpress.us/item/3256807383526945.html?spm=a2g0o.productlist.main.23.55d69Ihf9IhfBc&amp;algo_pvid=84cf6a6d-a99d-48c9-bb7a-deaba1877756&amp;algo_exp_id=84cf6a6d-a99d-48c9-bb7a-deaba1877756-22&amp;pdp_ext_f=%7B%22order%22%3A%221842%22%2C%22eval%22%3A%221%22%2C%22fromPage%22%3A%22search%22%7D&amp;pdp_npi=6%40dis%21USD%211.04%211.03%21%21%211.04%211.03%21%402101e2b417649696165324905eaf47%2112000041441724073%21sea%21US%21747277411%21X%211%210%21n_tag%3A-29919%3Bd%3Aab21f4a7%3Bm03_new_user%3A-29895&amp;curPageLogUid=kdMGiPZ6hEm8&amp;utparam-url=scene%3Asearch%7Cquery_from%3A%7Cx_object_id%3A1005007569841697%7C_p_origin_prod%3A</t>
  </si>
  <si>
    <t>2.54mm Jumper Caps</t>
  </si>
  <si>
    <t>https://www.aliexpress.us/item/3256805359306528.html?spm=a2g0o.productlist.main.2.1a403306vBZjHU&amp;algo_pvid=73f02e13-6f4b-4626-b43b-a2fefdb3a101&amp;algo_exp_id=73f02e13-6f4b-4626-b43b-a2fefdb3a101-1&amp;pdp_ext_f=%7B%22order%22%3A%2224%22%2C%22eval%22%3A%221%22%2C%22fromPage%22%3A%22search%22%7D&amp;pdp_npi=6%40dis%21USD%211.26%211.13%21%21%218.88%217.99%21%402103128817649698710865034e8163%2112000033484039989%21sea%21US%21747277411%21X%211%210%21n_tag%3A-29919%3Bd%3Aab21f4a7%3Bm03_new_user%3A-29895&amp;curPageLogUid=xutyn0z4C155&amp;utparam-url=scene%3Asearch%7Cquery_from%3A%7Cx_object_id%3A1005005545621280%7C_p_origin_prod%3A</t>
  </si>
  <si>
    <t>12v 5A Power Supply</t>
  </si>
  <si>
    <t>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</t>
  </si>
  <si>
    <t>Square Adhesive Rubber Feet</t>
  </si>
  <si>
    <t>https://www.aliexpress.us/item/2251832785210189.html?spm=a2g0o.productlist.main.42.76cd679bKyZvrT&amp;algo_pvid=4c213eac-d1d3-4fde-9bbd-6d86da2fcf90&amp;algo_exp_id=4c213eac-d1d3-4fde-9bbd-6d86da2fcf90-41&amp;pdp_ext_f=%7B%22order%22%3A%2212%22%2C%22eval%22%3A%221%22%2C%22fromPage%22%3A%22search%22%7D&amp;pdp_npi=6%40dis%21USD%212.92%212.89%21%21%212.92%212.89%21%402101df0e17649700732563783e8a4a%2166622759931%21sea%21US%21747277411%21X%211%210%21n_tag%3A-29919%3Bd%3Aab21f4a7%3Bm03_new_user%3A-29895&amp;curPageLogUid=zY0jLTF8NWrz&amp;utparam-url=scene%3Asearch%7Cquery_from%3A%7Cx_object_id%3A32971524941%7C_p_origin_prod%3A</t>
  </si>
  <si>
    <t>PES 0.22um Syringe Filters</t>
  </si>
  <si>
    <t>https://www.aliexpress.us/item/3256806983863516.html?spm=a2g0o.productlist.main.6.519d2d9d49NtVJ&amp;algo_pvid=20445d76-64ea-4db9-814c-9df757548c9f&amp;algo_exp_id=20445d76-64ea-4db9-814c-9df757548c9f-5&amp;pdp_ext_f=%7B%22order%22%3A%2243%22%2C%22eval%22%3A%221%22%2C%22fromPage%22%3A%22search%22%7D&amp;pdp_npi=6%40dis%21USD%2111.15%2111.15%21%21%2111.15%2111.15%21%402101c59117649701531786154e588b%2112000039686174937%21sea%21US%21747277411%21X%211%210%21n_tag%3A-29919%3Bd%3Aab21f4a7%3Bm03_new_user%3A-29895&amp;curPageLogUid=6LAvoEP7xlQJ&amp;utparam-url=scene%3Asearch%7Cquery_from%3A%7Cx_object_id%3A1005007170178268%7C_p_origin_prod%3A</t>
  </si>
  <si>
    <t>Neodymium Magnets 12x6x3mm</t>
  </si>
  <si>
    <t>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</t>
  </si>
  <si>
    <t xml:space="preserve">PC Fan 40x20mm </t>
  </si>
  <si>
    <t>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</t>
  </si>
  <si>
    <t>MicroSD Card Module</t>
  </si>
  <si>
    <t>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</t>
  </si>
  <si>
    <t>Black High Temp Silicone Sealant</t>
  </si>
  <si>
    <t>https://www.aliexpress.us/item/3256809082794580.html?spm=a2g0o.productlist.main.22.5f12268fntknwD&amp;algo_pvid=b0e740d3-ff4e-4999-94be-f90ec70e77dd&amp;algo_exp_id=b0e740d3-ff4e-4999-94be-f90ec70e77dd-21&amp;pdp_ext_f=%7B%22order%22%3A%22948%22%2C%22eval%22%3A%221%22%2C%22fromPage%22%3A%22search%22%7D&amp;pdp_npi=6%40dis%21USD%213.44%213.44%21%21%213.44%213.44%21%4021033d9d17649713377933723e722f%2112000048551820723%21sea%21US%21747277411%21X%211%210%21n_tag%3A-29919%3Bd%3Aab21f4a7%3Bm03_new_user%3A-29895&amp;curPageLogUid=5iZxJbS0rAOQ&amp;utparam-url=scene%3Asearch%7Cquery_from%3A%7Cx_object_id%3A1005009269109332%7C_p_origin_prod%3A</t>
  </si>
  <si>
    <t>22AWG Silicone Wire Kit Box 1</t>
  </si>
  <si>
    <t>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</t>
  </si>
  <si>
    <t>22AWG Silicone Wire Kit Box 2</t>
  </si>
  <si>
    <t>Smooth Flow Flux</t>
  </si>
  <si>
    <t>https://www.aliexpress.us/item/3256807619367300.html?spm=a2g0o.productlist.main.23.42c94f8coztNjN&amp;algo_pvid=d97e0657-30e1-4467-822f-c4d1235e7a15&amp;algo_exp_id=d97e0657-30e1-4467-822f-c4d1235e7a15-22&amp;pdp_ext_f=%7B%22order%22%3A%225863%22%2C%22eval%22%3A%221%22%2C%22orig_sl_item_id%22%3A%221005007805682052%22%2C%22orig_item_id%22%3A%221005009860309107%22%2C%22fromPage%22%3A%22search%22%7D&amp;pdp_npi=6%40dis%21USD%215.54%212.77%21%21%2138.96%2119.48%21%40210311a017649713938427768e35c7%2112000042262109145%21sea%21US%21747277411%21X%211%210%21n_tag%3A-29919%3Bd%3Aab21f4a7%3Bm03_new_user%3A-29895&amp;curPageLogUid=2C5Q7TgWCZ7L&amp;utparam-url=scene%3Asearch%7Cquery_from%3A%7Cx_object_id%3A1005007805682052%7C_p_origin_prod%3A1005009860309107</t>
  </si>
  <si>
    <t>Lead-Free Solder</t>
  </si>
  <si>
    <t>https://www.aliexpress.us/item/3256807913795917.html?spm=a2g0o.productlist.main.7.28c72b46qYZ2g1&amp;algo_pvid=56bdb0b9-4801-41fc-929e-705e60f848d3&amp;algo_exp_id=56bdb0b9-4801-41fc-929e-705e60f848d3-6&amp;pdp_ext_f=%7B%22order%22%3A%22261%22%2C%22eval%22%3A%221%22%2C%22fromPage%22%3A%22search%22%7D&amp;pdp_npi=6%40dis%21USD%214.59%214.33%21%21%2132.23%2130.40%21%40210311cc17649714919111469e068a%2112000043743456015%21sea%21US%21747277411%21X%211%210%21n_tag%3A-29919%3Bd%3Aab21f4a7%3Bm03_new_user%3A-29895&amp;curPageLogUid=2KA0dfwCmOtA&amp;utparam-url=scene%3Asearch%7Cquery_from%3A%7Cx_object_id%3A1005008100110669%7C_p_origin_prod%3A</t>
  </si>
  <si>
    <t>Hard Silicone Rubber Casting Resin</t>
  </si>
  <si>
    <t>Amazon</t>
  </si>
  <si>
    <t>https://www.amazon.com/dp/B07YWBXVND?ref_=ppx_hzsearch_conn_dt_b_fed_asin_title_2&amp;th=1</t>
  </si>
  <si>
    <t>Luer Lock Female to Barb 1/8" Cat# 51525K293</t>
  </si>
  <si>
    <t>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</t>
  </si>
  <si>
    <t>Luer Lock Male to Barb 1/8" Cat# 51525K143</t>
  </si>
  <si>
    <t>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</t>
  </si>
  <si>
    <t>Precision 10K Ohm Resistor</t>
  </si>
  <si>
    <t>Mouser</t>
  </si>
  <si>
    <t>https://www.amazon.com/PTF5610K000BZBF-Resistors-Through-10Kohms-PTF-56/dp/B09G76FF29</t>
  </si>
  <si>
    <t>Precision 10K Ohm NTC Thermistor</t>
  </si>
  <si>
    <t>DigiKey</t>
  </si>
  <si>
    <t>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</t>
  </si>
  <si>
    <t>Precision 2.49K Ohm Resistor</t>
  </si>
  <si>
    <t>https://www.digikey.com/en/products/detail/stackpole-electronics-inc/RNF14BTE2K49/1752591</t>
  </si>
  <si>
    <t>TOTAL</t>
  </si>
  <si>
    <t>Equipment</t>
  </si>
  <si>
    <t>Helping Hands</t>
  </si>
  <si>
    <t>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</t>
  </si>
  <si>
    <t>Soldering Iron, 160W High Power Soldering Tool, LED Digital Display Temperature Control Accurate 392°F-932°F, with ON/OFF Switch, 3 Iron Tips, Stand,Flux, Automatic Sleep Mode</t>
  </si>
  <si>
    <t>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</t>
  </si>
  <si>
    <t>Optional LEDs (100 UV-NIR, includes shipping)</t>
  </si>
  <si>
    <t>https://www.alibaba.com/product-detail/5mm3mm-ultraviolet-led-high-power-epistar_1600714829021.html?spm=a2700.galleryofferlist.normal_offer.d_title.54e313a0W6dUsW&amp;priceId=866a632b90c749a088dd557264684f75</t>
  </si>
  <si>
    <t>Optional Black Mica powder</t>
  </si>
  <si>
    <t>https://www.aliexpress.us/item/3256805821013496.html?src=google&amp;pdp_npi=4%40dis%21USD%210.95%210.86%21%21%21%21%21%40%2112000035298766573%21ppc%21%21%21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3256805821013496&amp;ds_e_product_merchant_id=109329369&amp;ds_e_product_country=US&amp;ds_e_product_language=en&amp;ds_e_product_channel=online&amp;ds_e_product_store_id=&amp;ds_url_v=2&amp;albcp=22964387469&amp;albag=&amp;isSmbAutoCall=false&amp;needSmbHouyi=false&amp;gad_source=1&amp;gad_campaignid=22970612606&amp;gbraid=0AAAABBR8kP1B8BlXYHpFzwLa1-xrd8p9E&amp;gclid=Cj0KCQiAi9rJBhCYARIsALyPDttHurt7kULbUE15m3vUp1L_59iK5xJHZ6Hasts7tH8fXVGDAgOx_rkaAhXmEALw_wcB&amp;gatewayAdapt=glo2usa</t>
  </si>
  <si>
    <t>Optional pump for air blubbling</t>
  </si>
  <si>
    <t>http://amazon.com/Uniclife-Aquarium-Outlets-Accessories-Adjustable/dp/B01EBXI7PG/</t>
  </si>
  <si>
    <r>
      <rPr>
        <color rgb="FF1155CC"/>
        <u/>
      </rPr>
      <t>https://www.adafruit.com/product/2717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</si>
</sst>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color rgb="FF0000FF"/>
    </font>
    <font>
      <u/>
      <color rgb="FF0563C1"/>
    </font>
    <font>
      <u/>
      <sz val="11.0"/>
      <color theme="10"/>
      <name val="Calibri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2" fontId="2" numFmtId="0" xfId="0" applyFill="1" applyFont="1"/>
    <xf borderId="0" fillId="0" fontId="5" numFmtId="0" xfId="0" applyFont="1"/>
    <xf borderId="0" fillId="3" fontId="6" numFmtId="0" xfId="0" applyAlignment="1" applyFill="1" applyFont="1">
      <alignment readingOrder="0"/>
    </xf>
    <xf borderId="0" fillId="3" fontId="2" numFmtId="164" xfId="0" applyFont="1" applyNumberFormat="1"/>
    <xf borderId="0" fillId="4" fontId="2" numFmtId="0" xfId="0" applyFill="1" applyFont="1"/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" TargetMode="External"/><Relationship Id="rId42" Type="http://schemas.openxmlformats.org/officeDocument/2006/relationships/hyperlink" Target="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" TargetMode="External"/><Relationship Id="rId41" Type="http://schemas.openxmlformats.org/officeDocument/2006/relationships/hyperlink" Target="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" TargetMode="External"/><Relationship Id="rId44" Type="http://schemas.openxmlformats.org/officeDocument/2006/relationships/hyperlink" Target="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" TargetMode="External"/><Relationship Id="rId43" Type="http://schemas.openxmlformats.org/officeDocument/2006/relationships/hyperlink" Target="https://www.aliexpress.us/item/3256809082794580.html?spm=a2g0o.productlist.main.22.5f12268fntknwD&amp;algo_pvid=b0e740d3-ff4e-4999-94be-f90ec70e77dd&amp;algo_exp_id=b0e740d3-ff4e-4999-94be-f90ec70e77dd-21&amp;pdp_ext_f=%7B%22order%22%3A%22948%22%2C%22eval%22%3A%221%22%2C%22fromPage%22%3A%22search%22%7D&amp;pdp_npi=6%40dis%21USD%213.44%213.44%21%21%213.44%213.44%21%4021033d9d17649713377933723e722f%2112000048551820723%21sea%21US%21747277411%21X%211%210%21n_tag%3A-29919%3Bd%3Aab21f4a7%3Bm03_new_user%3A-29895&amp;curPageLogUid=5iZxJbS0rAOQ&amp;utparam-url=scene%3Asearch%7Cquery_from%3A%7Cx_object_id%3A1005009269109332%7C_p_origin_prod%3A" TargetMode="External"/><Relationship Id="rId46" Type="http://schemas.openxmlformats.org/officeDocument/2006/relationships/hyperlink" Target="https://www.aliexpress.us/item/3256807619367300.html?spm=a2g0o.productlist.main.23.42c94f8coztNjN&amp;algo_pvid=d97e0657-30e1-4467-822f-c4d1235e7a15&amp;algo_exp_id=d97e0657-30e1-4467-822f-c4d1235e7a15-22&amp;pdp_ext_f=%7B%22order%22%3A%225863%22%2C%22eval%22%3A%221%22%2C%22orig_sl_item_id%22%3A%221005007805682052%22%2C%22orig_item_id%22%3A%221005009860309107%22%2C%22fromPage%22%3A%22search%22%7D&amp;pdp_npi=6%40dis%21USD%215.54%212.77%21%21%2138.96%2119.48%21%40210311a017649713938427768e35c7%2112000042262109145%21sea%21US%21747277411%21X%211%210%21n_tag%3A-29919%3Bd%3Aab21f4a7%3Bm03_new_user%3A-29895&amp;curPageLogUid=2C5Q7TgWCZ7L&amp;utparam-url=scene%3Asearch%7Cquery_from%3A%7Cx_object_id%3A1005007805682052%7C_p_origin_prod%3A1005009860309107" TargetMode="External"/><Relationship Id="rId45" Type="http://schemas.openxmlformats.org/officeDocument/2006/relationships/hyperlink" Target="https://www.aliexpress.us/item/3256806872487663.html?spm=a2g0o.productlist.main.59.6fa8546aHajLyh&amp;algo_pvid=e4b06b39-4eb3-42ea-a860-bb327ddf0c91&amp;algo_exp_id=e4b06b39-4eb3-42ea-a860-bb327ddf0c91-58&amp;pdp_ext_f=%7B%22order%22%3A%2263%22%2C%22eval%22%3A%221%22%2C%22fromPage%22%3A%22search%22%7D&amp;pdp_npi=6%40dis%21USD%2114.04%2113.11%21%21%2198.75%2192.22%21%40210328d417646190997376402e1d0b%2112000046405028080%21sea%21US%21747277411%21X%211%210%21n_tag%3A-29919%3Bd%3Aab21f4a7%3Bm03_new_user%3A-29895&amp;curPageLogUid=m3JkRzS8uJco&amp;utparam-url=scene%3Asearch%7Cquery_from%3A%7Cx_object_id%3A1005007058802415%7C_p_origin_prod%3A" TargetMode="External"/><Relationship Id="rId1" Type="http://schemas.openxmlformats.org/officeDocument/2006/relationships/hyperlink" Target="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" TargetMode="External"/><Relationship Id="rId2" Type="http://schemas.openxmlformats.org/officeDocument/2006/relationships/hyperlink" Target="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" TargetMode="External"/><Relationship Id="rId3" Type="http://schemas.openxmlformats.org/officeDocument/2006/relationships/hyperlink" Target="https://www.alibaba.com/product-detail/TLC5947-module-12-Bit-24-Channel_62586041214.html?spm=a2700.galleryofferlist.normal_offer.d_title.3fb413a0GBOiNw&amp;priceId=47e17c71cdde4774b84ecf4fa5e1e2d3" TargetMode="External"/><Relationship Id="rId4" Type="http://schemas.openxmlformats.org/officeDocument/2006/relationships/hyperlink" Target="https://www.aliexpress.us/item/3256809806051721.html?spm=a2g0o.productlist.main.6.52b039c5o3jft4&amp;algo_pvid=25557c5a-5483-48cb-9936-965b7b127e3d&amp;algo_exp_id=25557c5a-5483-48cb-9936-965b7b127e3d-5&amp;pdp_ext_f=%7B%22order%22%3A%2295%22%2C%22eval%22%3A%221%22%2C%22fromPage%22%3A%22search%22%7D&amp;pdp_npi=6%40dis%21USD%212.60%212.53%21%21%2118.31%2117.84%21%402101e2b217646180632656557edd06%2112000050782541047%21sea%21US%21747277411%21X%211%210%21n_tag%3A-29919%3Bd%3Aab21f4a7%3Bm03_new_user%3A-29895&amp;curPageLogUid=Eqp3fZFoM7K1&amp;utparam-url=scene%3Asearch%7Cquery_from%3A%7Cx_object_id%3A1005009992366473%7C_p_origin_prod%3A" TargetMode="External"/><Relationship Id="rId9" Type="http://schemas.openxmlformats.org/officeDocument/2006/relationships/hyperlink" Target="https://www.aliexpress.us/item/3256803116546507.html?spm=a2g0o.productlist.main.3.512523b3vhbmVX&amp;algo_pvid=e1ba1260-de8f-49af-bf56-79db9215f60f&amp;algo_exp_id=e1ba1260-de8f-49af-bf56-79db9215f60f-2&amp;pdp_ext_f=%7B%22order%22%3A%22561%22%2C%22eval%22%3A%221%22%2C%22fromPage%22%3A%22search%22%7D&amp;pdp_npi=6%40dis%21USD%213.17%212.97%21%21%2122.28%2120.88%21%402101c44517646184329484367e5038%2112000035351804949%21sea%21US%21747277411%21X%211%210%21n_tag%3A-29919%3Bd%3Aab21f4a7%3Bm03_new_user%3A-29895&amp;curPageLogUid=xL4qqrG5PEyM&amp;utparam-url=scene%3Asearch%7Cquery_from%3A%7Cx_object_id%3A1005003302861259%7C_p_origin_prod%3A" TargetMode="External"/><Relationship Id="rId48" Type="http://schemas.openxmlformats.org/officeDocument/2006/relationships/hyperlink" Target="https://www.amazon.com/dp/B07YWBXVND?ref_=ppx_hzsearch_conn_dt_b_fed_asin_title_2&amp;th=1" TargetMode="External"/><Relationship Id="rId47" Type="http://schemas.openxmlformats.org/officeDocument/2006/relationships/hyperlink" Target="https://www.aliexpress.us/item/3256807913795917.html?spm=a2g0o.productlist.main.7.28c72b46qYZ2g1&amp;algo_pvid=56bdb0b9-4801-41fc-929e-705e60f848d3&amp;algo_exp_id=56bdb0b9-4801-41fc-929e-705e60f848d3-6&amp;pdp_ext_f=%7B%22order%22%3A%22261%22%2C%22eval%22%3A%221%22%2C%22fromPage%22%3A%22search%22%7D&amp;pdp_npi=6%40dis%21USD%214.59%214.33%21%21%2132.23%2130.40%21%40210311cc17649714919111469e068a%2112000043743456015%21sea%21US%21747277411%21X%211%210%21n_tag%3A-29919%3Bd%3Aab21f4a7%3Bm03_new_user%3A-29895&amp;curPageLogUid=2KA0dfwCmOtA&amp;utparam-url=scene%3Asearch%7Cquery_from%3A%7Cx_object_id%3A1005008100110669%7C_p_origin_prod%3A" TargetMode="External"/><Relationship Id="rId49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Relationship Id="rId5" Type="http://schemas.openxmlformats.org/officeDocument/2006/relationships/hyperlink" Target="https://www.alibaba.com/product-detail/TSL2591-Digital-Light-Sensor-Breakout-Module_1601221697469.html?spm=a2700.galleryofferlist.normal_offer.d_title.454113a0p2WtNN&amp;priceId=1204ae311b9d4177a32bed3a3f9af1b0" TargetMode="External"/><Relationship Id="rId6" Type="http://schemas.openxmlformats.org/officeDocument/2006/relationships/hyperlink" Target="https://www.adafruit.com/product/2717" TargetMode="External"/><Relationship Id="rId7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8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31" Type="http://schemas.openxmlformats.org/officeDocument/2006/relationships/hyperlink" Target="https://www.aliexpress.us/item/3256807463903641.html?spm=a2g0o.productlist.main.22.3adb2ef2Ts6kxo&amp;algo_pvid=3563170c-b7c9-4d8f-9f66-7bc7fc022c29&amp;algo_exp_id=3563170c-b7c9-4d8f-9f66-7bc7fc022c29-21&amp;pdp_ext_f=%7B%22order%22%3A%2216%22%2C%22eval%22%3A%221%22%2C%22fromPage%22%3A%22search%22%7D&amp;pdp_npi=6%40dis%21USD%218.74%215.68%21%21%2161.41%2139.92%21%4021033d1217649691300721760e2784%2112000041651551254%21sea%21US%21747277411%21X%211%210%21n_tag%3A-29919%3Bd%3Aab21f4a7%3Bm03_new_user%3A-29895&amp;curPageLogUid=STi7P96EXRlY&amp;utparam-url=scene%3Asearch%7Cquery_from%3A%7Cx_object_id%3A1005007650218393%7C_p_origin_prod%3A" TargetMode="External"/><Relationship Id="rId30" Type="http://schemas.openxmlformats.org/officeDocument/2006/relationships/hyperlink" Target="https://www.aliexpress.us/item/3256808697007607.html?spm=a2g0o.productlist.main.3.28a47c79j6IJaT&amp;algo_pvid=24dd33cc-af44-483f-9005-8d680118d8ab&amp;algo_exp_id=24dd33cc-af44-483f-9005-8d680118d8ab-2&amp;pdp_ext_f=%7B%22order%22%3A%22102%22%2C%22eval%22%3A%221%22%2C%22fromPage%22%3A%22search%22%7D&amp;pdp_npi=6%40dis%21USD%213.18%212.38%21%21%2122.35%2116.76%21%40210325a917649690688323567e2f4a%2112000047075772143%21sea%21US%21747277411%21X%211%210%21n_tag%3A-29919%3Bd%3Aab21f4a7%3Bm03_new_user%3A-29895&amp;curPageLogUid=drx6CjwDRf4p&amp;utparam-url=scene%3Asearch%7Cquery_from%3A%7Cx_object_id%3A1005008883322359%7C_p_origin_prod%3A" TargetMode="External"/><Relationship Id="rId33" Type="http://schemas.openxmlformats.org/officeDocument/2006/relationships/hyperlink" Target="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" TargetMode="External"/><Relationship Id="rId32" Type="http://schemas.openxmlformats.org/officeDocument/2006/relationships/hyperlink" Target="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" TargetMode="External"/><Relationship Id="rId35" Type="http://schemas.openxmlformats.org/officeDocument/2006/relationships/hyperlink" Target="https://www.aliexpress.us/item/3256807383526945.html?spm=a2g0o.productlist.main.23.55d69Ihf9IhfBc&amp;algo_pvid=84cf6a6d-a99d-48c9-bb7a-deaba1877756&amp;algo_exp_id=84cf6a6d-a99d-48c9-bb7a-deaba1877756-22&amp;pdp_ext_f=%7B%22order%22%3A%221842%22%2C%22eval%22%3A%221%22%2C%22fromPage%22%3A%22search%22%7D&amp;pdp_npi=6%40dis%21USD%211.04%211.03%21%21%211.04%211.03%21%402101e2b417649696165324905eaf47%2112000041441724073%21sea%21US%21747277411%21X%211%210%21n_tag%3A-29919%3Bd%3Aab21f4a7%3Bm03_new_user%3A-29895&amp;curPageLogUid=kdMGiPZ6hEm8&amp;utparam-url=scene%3Asearch%7Cquery_from%3A%7Cx_object_id%3A1005007569841697%7C_p_origin_prod%3A" TargetMode="External"/><Relationship Id="rId34" Type="http://schemas.openxmlformats.org/officeDocument/2006/relationships/hyperlink" Target="https://www.aliexpress.us/item/3256809164675006.html?spm=a2g0o.productlist.main.5.55d69Ihf9IhfBc&amp;algo_pvid=84cf6a6d-a99d-48c9-bb7a-deaba1877756&amp;algo_exp_id=84cf6a6d-a99d-48c9-bb7a-deaba1877756-4&amp;pdp_ext_f=%7B%22order%22%3A%22937%22%2C%22eval%22%3A%221%22%2C%22orig_sl_item_id%22%3A%221005009350989758%22%2C%22orig_item_id%22%3A%221005009370767269%22%2C%22fromPage%22%3A%22search%22%7D&amp;pdp_npi=6%40dis%21USD%213.93%211.97%21%21%2127.60%2113.80%21%402101e2b417649696165324905eaf47%2112000048841055747%21sea%21US%21747277411%21X%211%210%21n_tag%3A-29919%3Bd%3Aab21f4a7%3Bm03_new_user%3A-29895&amp;curPageLogUid=NwdbH9P0lvf9&amp;utparam-url=scene%3Asearch%7Cquery_from%3A%7Cx_object_id%3A1005009350989758%7C_p_origin_prod%3A1005009370767269" TargetMode="External"/><Relationship Id="rId37" Type="http://schemas.openxmlformats.org/officeDocument/2006/relationships/hyperlink" Target="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" TargetMode="External"/><Relationship Id="rId36" Type="http://schemas.openxmlformats.org/officeDocument/2006/relationships/hyperlink" Target="https://www.aliexpress.us/item/3256805359306528.html?spm=a2g0o.productlist.main.2.1a403306vBZjHU&amp;algo_pvid=73f02e13-6f4b-4626-b43b-a2fefdb3a101&amp;algo_exp_id=73f02e13-6f4b-4626-b43b-a2fefdb3a101-1&amp;pdp_ext_f=%7B%22order%22%3A%2224%22%2C%22eval%22%3A%221%22%2C%22fromPage%22%3A%22search%22%7D&amp;pdp_npi=6%40dis%21USD%211.26%211.13%21%21%218.88%217.99%21%402103128817649698710865034e8163%2112000033484039989%21sea%21US%21747277411%21X%211%210%21n_tag%3A-29919%3Bd%3Aab21f4a7%3Bm03_new_user%3A-29895&amp;curPageLogUid=xutyn0z4C155&amp;utparam-url=scene%3Asearch%7Cquery_from%3A%7Cx_object_id%3A1005005545621280%7C_p_origin_prod%3A" TargetMode="External"/><Relationship Id="rId39" Type="http://schemas.openxmlformats.org/officeDocument/2006/relationships/hyperlink" Target="https://www.aliexpress.us/item/3256806983863516.html?spm=a2g0o.productlist.main.6.519d2d9d49NtVJ&amp;algo_pvid=20445d76-64ea-4db9-814c-9df757548c9f&amp;algo_exp_id=20445d76-64ea-4db9-814c-9df757548c9f-5&amp;pdp_ext_f=%7B%22order%22%3A%2243%22%2C%22eval%22%3A%221%22%2C%22fromPage%22%3A%22search%22%7D&amp;pdp_npi=6%40dis%21USD%2111.15%2111.15%21%21%2111.15%2111.15%21%402101c59117649701531786154e588b%2112000039686174937%21sea%21US%21747277411%21X%211%210%21n_tag%3A-29919%3Bd%3Aab21f4a7%3Bm03_new_user%3A-29895&amp;curPageLogUid=6LAvoEP7xlQJ&amp;utparam-url=scene%3Asearch%7Cquery_from%3A%7Cx_object_id%3A1005007170178268%7C_p_origin_prod%3A" TargetMode="External"/><Relationship Id="rId38" Type="http://schemas.openxmlformats.org/officeDocument/2006/relationships/hyperlink" Target="https://www.aliexpress.us/item/2251832785210189.html?spm=a2g0o.productlist.main.42.76cd679bKyZvrT&amp;algo_pvid=4c213eac-d1d3-4fde-9bbd-6d86da2fcf90&amp;algo_exp_id=4c213eac-d1d3-4fde-9bbd-6d86da2fcf90-41&amp;pdp_ext_f=%7B%22order%22%3A%2212%22%2C%22eval%22%3A%221%22%2C%22fromPage%22%3A%22search%22%7D&amp;pdp_npi=6%40dis%21USD%212.92%212.89%21%21%212.92%212.89%21%402101df0e17649700732563783e8a4a%2166622759931%21sea%21US%21747277411%21X%211%210%21n_tag%3A-29919%3Bd%3Aab21f4a7%3Bm03_new_user%3A-29895&amp;curPageLogUid=zY0jLTF8NWrz&amp;utparam-url=scene%3Asearch%7Cquery_from%3A%7Cx_object_id%3A32971524941%7C_p_origin_prod%3A" TargetMode="External"/><Relationship Id="rId20" Type="http://schemas.openxmlformats.org/officeDocument/2006/relationships/hyperlink" Target="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" TargetMode="External"/><Relationship Id="rId22" Type="http://schemas.openxmlformats.org/officeDocument/2006/relationships/hyperlink" Target="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" TargetMode="External"/><Relationship Id="rId21" Type="http://schemas.openxmlformats.org/officeDocument/2006/relationships/hyperlink" Target="https://www.aliexpress.us/item/3256808088472590.html?spm=a2g0o.productlist.main.10.61044bb48N9qJI&amp;algo_pvid=82ef8283-ab99-4cf9-a08e-b16617b9f412&amp;algo_exp_id=82ef8283-ab99-4cf9-a08e-b16617b9f412-9&amp;pdp_ext_f=%7B%22order%22%3A%22122%22%2C%22eval%22%3A%221%22%2C%22fromPage%22%3A%22search%22%7D&amp;pdp_npi=6%40dis%21USD%213.68%213.68%21%21%2125.89%2125.89%21%402103126e17649163962338464e138d%2112000044448400889%21sea%21US%21747277411%21X%211%210%21n_tag%3A-29919%3Bd%3Aab21f4a7%3Bm03_new_user%3A-29895&amp;curPageLogUid=Nd4i0lxbjFsQ&amp;utparam-url=scene%3Asearch%7Cquery_from%3A%7Cx_object_id%3A1005008274787342%7C_p_origin_prod%3A" TargetMode="External"/><Relationship Id="rId24" Type="http://schemas.openxmlformats.org/officeDocument/2006/relationships/hyperlink" Target="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" TargetMode="External"/><Relationship Id="rId23" Type="http://schemas.openxmlformats.org/officeDocument/2006/relationships/hyperlink" Target="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" TargetMode="External"/><Relationship Id="rId26" Type="http://schemas.openxmlformats.org/officeDocument/2006/relationships/hyperlink" Target="https://www.aliexpress.us/item/3256803907721123.html?spm=a2g0o.productlist.main.1.4a8f5c21Q5FkJ2&amp;algo_pvid=33eb0c89-3ee4-4e59-bca6-64ef50b50217&amp;algo_exp_id=33eb0c89-3ee4-4e59-bca6-64ef50b50217-0&amp;pdp_ext_f=%7B%22order%22%3A%22716%22%2C%22eval%22%3A%221%22%2C%22fromPage%22%3A%22search%22%7D&amp;pdp_npi=6%40dis%21USD%217.17%217.17%21%21%217.17%217.17%21%402101dedf17649680763022169e395a%2112000028013096838%21sea%21US%21747277411%21X%211%210%21n_tag%3A-29919%3Bd%3Aab21f4a7%3Bm03_new_user%3A-29895&amp;curPageLogUid=memrVmdLUUmt&amp;utparam-url=scene%3Asearch%7Cquery_from%3A%7Cx_object_id%3A1005004094035875%7C_p_origin_prod%3A" TargetMode="External"/><Relationship Id="rId25" Type="http://schemas.openxmlformats.org/officeDocument/2006/relationships/hyperlink" Target="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" TargetMode="External"/><Relationship Id="rId28" Type="http://schemas.openxmlformats.org/officeDocument/2006/relationships/hyperlink" Target="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" TargetMode="External"/><Relationship Id="rId27" Type="http://schemas.openxmlformats.org/officeDocument/2006/relationships/hyperlink" Target="https://www.aliexpress.us/item/2251832793785357.html?spm=a2g0o.productlist.main.11.bdc874o274o2US&amp;algo_pvid=de12a7fc-78fb-4f73-8647-2b32aad200cd&amp;algo_exp_id=de12a7fc-78fb-4f73-8647-2b32aad200cd-10&amp;pdp_ext_f=%7B%22order%22%3A%22212%22%2C%22eval%22%3A%221%22%2C%22fromPage%22%3A%22search%22%7D&amp;pdp_npi=6%40dis%21USD%211.45%211.45%21%21%211.45%211.45%21%402103274e17649683567607759e4e8e%2112000029598809782%21sea%21US%21747277411%21X%211%210%21n_tag%3A-29919%3Bd%3Aab21f4a7%3Bm03_new_user%3A-29895&amp;curPageLogUid=0Fh3A0FxOjEa&amp;utparam-url=scene%3Asearch%7Cquery_from%3A%7Cx_object_id%3A32980100109%7C_p_origin_prod%3A" TargetMode="External"/><Relationship Id="rId29" Type="http://schemas.openxmlformats.org/officeDocument/2006/relationships/hyperlink" Target="https://www.aliexpress.us/item/2251832687071918.html?spm=a2g0o.productlist.main.39.5f1353d0CXqf4A&amp;algo_pvid=fc3623f9-40e9-4f9c-ab5a-f3ac1dbe8502&amp;algo_exp_id=fc3623f9-40e9-4f9c-ab5a-f3ac1dbe8502-38&amp;pdp_ext_f=%7B%22order%22%3A%223519%22%2C%22eval%22%3A%221%22%2C%22fromPage%22%3A%22search%22%7D&amp;pdp_npi=6%40dis%21USD%211.43%211.43%21%21%211.43%211.43%21%4021030a4b17649688537392129e153b%2165526366999%21sea%21US%21747277411%21X%211%210%21n_tag%3A-29919%3Bd%3Aab21f4a7%3Bm03_new_user%3A-29895&amp;curPageLogUid=4V8XkcMblquU&amp;utparam-url=scene%3Asearch%7Cquery_from%3A%7Cx_object_id%3A32873386670%7C_p_origin_prod%3A" TargetMode="External"/><Relationship Id="rId51" Type="http://schemas.openxmlformats.org/officeDocument/2006/relationships/hyperlink" Target="https://www.amazon.com/PTF5610K000BZBF-Resistors-Through-10Kohms-PTF-56/dp/B09G76FF29" TargetMode="External"/><Relationship Id="rId50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53" Type="http://schemas.openxmlformats.org/officeDocument/2006/relationships/hyperlink" Target="https://www.digikey.com/en/products/detail/stackpole-electronics-inc/RNF14BTE2K49/1752591" TargetMode="External"/><Relationship Id="rId52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11" Type="http://schemas.openxmlformats.org/officeDocument/2006/relationships/hyperlink" Target="https://www.amazon.com/gp/product/B07TXGD3WS/ref=ppx_yo_dt_b_search_asin_title?ie=UTF8&amp;psc=1" TargetMode="External"/><Relationship Id="rId55" Type="http://schemas.openxmlformats.org/officeDocument/2006/relationships/hyperlink" Target="https://www.amazon.com/dp/B0CRKSM2GH/ref=sspa_dk_detail_5?pd_rd_i=B0CRKSM2GH&amp;pd_rd_w=Davuj&amp;content-id=amzn1.sym.f2f1cf8f-cab4-44dc-82ba-0ca811fb90cc&amp;pf_rd_p=f2f1cf8f-cab4-44dc-82ba-0ca811fb90cc&amp;pf_rd_r=5Z7BAHHFM6TDA28TY90B&amp;pd_rd_wg=KQrLD&amp;pd_rd_r=c83de427-10e2-4c53-abc8-a8564ea0fbff&amp;s=hi&amp;sp_csd=d2lkZ2V0TmFtZT1zcF9kZXRhaWxfdGhlbWF0aWM&amp;th=1" TargetMode="External"/><Relationship Id="rId10" Type="http://schemas.openxmlformats.org/officeDocument/2006/relationships/hyperlink" Target="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" TargetMode="External"/><Relationship Id="rId54" Type="http://schemas.openxmlformats.org/officeDocument/2006/relationships/hyperlink" Target="https://www.amazon.com/dp/B0FGTBKRN6/ref=sspa_dk_detail_3?pd_rd_i=B0FGTBKRN6&amp;pd_rd_w=zq4X7&amp;content-id=amzn1.sym.386c274b-4bfe-4421-9052-a1a56db557ab&amp;pf_rd_p=386c274b-4bfe-4421-9052-a1a56db557ab&amp;pf_rd_r=RP10E4A51FMG584105ZN&amp;pd_rd_wg=RjABU&amp;pd_rd_r=ec41a299-b2df-4c07-9fa7-f25e0d185717&amp;sp_csd=d2lkZ2V0TmFtZT1zcF9kZXRhaWxfdGhlbWF0aWM&amp;th=1" TargetMode="External"/><Relationship Id="rId13" Type="http://schemas.openxmlformats.org/officeDocument/2006/relationships/hyperlink" Target="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" TargetMode="External"/><Relationship Id="rId57" Type="http://schemas.openxmlformats.org/officeDocument/2006/relationships/hyperlink" Target="https://www.aliexpress.us/item/3256805821013496.html?src=google&amp;pdp_npi=4%40dis%21USD%210.95%210.86%21%21%21%21%21%40%2112000035298766573%21ppc%21%21%21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en3256805821013496&amp;ds_e_product_merchant_id=109329369&amp;ds_e_product_country=US&amp;ds_e_product_language=en&amp;ds_e_product_channel=online&amp;ds_e_product_store_id=&amp;ds_url_v=2&amp;albcp=22964387469&amp;albag=&amp;isSmbAutoCall=false&amp;needSmbHouyi=false&amp;gad_source=1&amp;gad_campaignid=22970612606&amp;gbraid=0AAAABBR8kP1B8BlXYHpFzwLa1-xrd8p9E&amp;gclid=Cj0KCQiAi9rJBhCYARIsALyPDttHurt7kULbUE15m3vUp1L_59iK5xJHZ6Hasts7tH8fXVGDAgOx_rkaAhXmEALw_wcB&amp;gatewayAdapt=glo2usa" TargetMode="External"/><Relationship Id="rId12" Type="http://schemas.openxmlformats.org/officeDocument/2006/relationships/hyperlink" Target="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" TargetMode="External"/><Relationship Id="rId56" Type="http://schemas.openxmlformats.org/officeDocument/2006/relationships/hyperlink" Target="https://www.alibaba.com/product-detail/5mm3mm-ultraviolet-led-high-power-epistar_1600714829021.html?spm=a2700.galleryofferlist.normal_offer.d_title.54e313a0W6dUsW&amp;priceId=866a632b90c749a088dd557264684f75" TargetMode="External"/><Relationship Id="rId15" Type="http://schemas.openxmlformats.org/officeDocument/2006/relationships/hyperlink" Target="https://www.aliexpress.us/item/3256806077264771.html?spm=a2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" TargetMode="External"/><Relationship Id="rId58" Type="http://schemas.openxmlformats.org/officeDocument/2006/relationships/hyperlink" Target="http://amazon.com/Uniclife-Aquarium-Outlets-Accessories-Adjustable/dp/B01EBXI7PG/" TargetMode="External"/><Relationship Id="rId17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6" Type="http://schemas.openxmlformats.org/officeDocument/2006/relationships/hyperlink" Target="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" TargetMode="External"/><Relationship Id="rId19" Type="http://schemas.openxmlformats.org/officeDocument/2006/relationships/hyperlink" Target="https://www.aliexpress.us/item/3256806422675515.html?spm=a2g0o.productlist.main.39.6ceb6c10UQ7sWW&amp;utparam-url=scene%3AimageSearch%7Cquery_from%3Apc_back_same_best%7Cx_object_id%3A1005006608990267%7C_p_origin_prod%3A&amp;algo_pvid=bcc55953-63de-46b1-aace-2dabab5b5f9e&amp;algo_exp_id=bcc55953-63de-46b1-aace-2dabab5b5f9e&amp;pdp_ext_f=%7B%22order%22%3A%22250%22%2C%22fromPage%22%3A%22search%22%7D&amp;pdp_npi=6%40dis%21USD%215.00%215.00%21%21%2135.16%2135.16%21%402101d9ef17649160354633506e55d3%2112000037811339107%21sea%21US%21747277411%21X%211%210%21n_tag%3A-29919%3Bd%3Aab21f4a7%3Bm03_new_user%3A-29895&amp;gatewayAdapt=4itemAdapt" TargetMode="External"/><Relationship Id="rId18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us/item/3256808443179819.html?spm=a2g0o.productlist.main.14.4601zztXzztXDH&amp;algo_pvid=49ab79c5-3648-4979-bd75-e20f727d6fee&amp;algo_exp_id=49ab79c5-3648-4979-bd75-e20f727d6fee-13&amp;pdp_ext_f=%7B%22order%22%3A%224%22%2C%22eval%22%3A%221%22%2C%22fromPage%22%3A%22search%22%7D&amp;pdp_npi=6%40dis%21USD%219.98%219.48%21%21%2170.16%2166.65%21%402101eede17646177911051530e3eab%2112000046022762058%21sea%21US%21747277411%21X%211%210%21n_tag%3A-29919%3Bd%3Aab21f4a7%3Bm03_new_user%3A-29895&amp;curPageLogUid=ypC1EHNQtV5V&amp;utparam-url=scene%3Asearch%7Cquery_from%3A%7Cx_object_id%3A1005008629494571%7C_p_origin_prod%3A" TargetMode="External"/><Relationship Id="rId2" Type="http://schemas.openxmlformats.org/officeDocument/2006/relationships/hyperlink" Target="https://www.aliexpress.us/item/3256810164925988.html?spm=a2g0o.productlist.main.1.6de06b51Bkhk5l&amp;algo_pvid=4416d011-f5e3-4efe-84c7-f9debcb71402&amp;algo_exp_id=4416d011-f5e3-4efe-84c7-f9debcb71402-0&amp;pdp_ext_f=%7B%22order%22%3A%22-1%22%2C%22eval%22%3A%221%22%2C%22fromPage%22%3A%22search%22%7D&amp;pdp_npi=6%40dis%21USD%2110.01%2110.01%21%21%2170.41%2170.41%21%402101d6ff17646178980536554ea13f%2112000052083483977%21sea%21US%21747277411%21X%211%210%21n_tag%3A-29919%3Bd%3Aab21f4a7%3Bm03_new_user%3A-29895&amp;curPageLogUid=7wuj5i6TvdWM&amp;utparam-url=scene%3Asearch%7Cquery_from%3A%7Cx_object_id%3A1005010351240740%7C_p_origin_prod%3A" TargetMode="External"/><Relationship Id="rId3" Type="http://schemas.openxmlformats.org/officeDocument/2006/relationships/hyperlink" Target="https://www.alibaba.com/product-detail/TLC5947-module-12-Bit-24-Channel_62586041214.html?spm=a2700.galleryofferlist.normal_offer.d_title.3fb413a0GBOiNw&amp;priceId=47e17c71cdde4774b84ecf4fa5e1e2d3" TargetMode="External"/><Relationship Id="rId4" Type="http://schemas.openxmlformats.org/officeDocument/2006/relationships/hyperlink" Target="https://www.adafruit.com/product/2717" TargetMode="External"/><Relationship Id="rId9" Type="http://schemas.openxmlformats.org/officeDocument/2006/relationships/hyperlink" Target="https://www.aliexpress.us/item/3256808648181661.html?spm=a2g0o.productlist.main.41.4a743a5cpN8Ydw&amp;algo_pvid=76312379-9ff2-41ca-9d57-f95da410a502&amp;algo_exp_id=76312379-9ff2-41ca-9d57-f95da410a502-40&amp;pdp_ext_f=%7B%22order%22%3A%22392%22%2C%22eval%22%3A%221%22%2C%22fromPage%22%3A%22search%22%7D&amp;pdp_npi=6%40dis%21USD%2124.86%2117.40%21%21%2124.86%2117.40%21%402103274e17649722601595845e4e80%2112000046879837311%21sea%21US%21747277411%21X%211%210%21n_tag%3A-29919%3Bd%3Aab21f4a7%3Bm03_new_user%3A-29895&amp;curPageLogUid=riVaaNLBrUrJ&amp;utparam-url=scene%3Asearch%7Cquery_from%3A%7Cx_object_id%3A1005008834496413%7C_p_origin_prod%3A" TargetMode="External"/><Relationship Id="rId5" Type="http://schemas.openxmlformats.org/officeDocument/2006/relationships/hyperlink" Target="https://www.aliexpress.us/item/3256805882232786.html?spm=a2g0o.productlist.main.9.2dd9430cHjvVs6&amp;algo_pvid=470b8792-b5a8-4bf3-989e-117c5de0bae6&amp;algo_exp_id=470b8792-b5a8-4bf3-989e-117c5de0bae6-4&amp;pdp_npi=4%40dis%21USD%212.60%212.60%21%21%2118.99%2118.99%21%40210312d517370922723488676e58dc%2112000035581895013%21sea%21US%21130401492%21X&amp;curPageLogUid=dumjhIYKBhum&amp;utparam-url=scene%3Asearch%7Cquery_from%3A" TargetMode="External"/><Relationship Id="rId6" Type="http://schemas.openxmlformats.org/officeDocument/2006/relationships/hyperlink" Target="https://www.aliexpress.us/item/2255799902168723.html?spm=a2g0o.productlist.main.13.33d91dbfjg6lT6&amp;algo_pvid=41b3db83-0cc6-4d93-9462-58281ef099bb&amp;algo_exp_id=41b3db83-0cc6-4d93-9462-58281ef099bb-6&amp;pdp_npi=4%40dis%21USD%211.19%210.90%21%21%211.19%210.90%21%402103010e17370936430375180e82b1%2110000000236356640%21sea%21US%21130401492%21X&amp;curPageLogUid=Aym9k0gyzjFz&amp;utparam-url=scene%3Asearch%7Cquery_from%3A" TargetMode="External"/><Relationship Id="rId7" Type="http://schemas.openxmlformats.org/officeDocument/2006/relationships/hyperlink" Target="https://www.aliexpress.us/item/3256809453294379.html?spm=a2g0o.productlist.main.45.6c251e9fZLf5ed&amp;algo_pvid=60c7e01e-11b7-4baa-82f3-612e90a66c7b&amp;algo_exp_id=60c7e01e-11b7-4baa-82f3-612e90a66c7b-42&amp;pdp_ext_f=%7B%22order%22%3A%2279%22%2C%22eval%22%3A%221%22%2C%22fromPage%22%3A%22search%22%7D&amp;pdp_npi=6%40dis%21USD%211.09%211.09%21%21%217.65%217.65%21%40210328d417646185611046294e1d0b%2112000049785693270%21sea%21US%21747277411%21X%211%210%21n_tag%3A-29919%3Bd%3Aab21f4a7%3Bm03_new_user%3A-29895&amp;curPageLogUid=2q5RW11g6f6b&amp;utparam-url=scene%3Asearch%7Cquery_from%3A%7Cx_object_id%3A1005009639609131%7C_p_origin_prod%3A" TargetMode="External"/><Relationship Id="rId8" Type="http://schemas.openxmlformats.org/officeDocument/2006/relationships/hyperlink" Target="https://www.amazon.com/gp/product/B07TXGD3WS/ref=ppx_yo_dt_b_search_asin_title?ie=UTF8&amp;psc=1" TargetMode="External"/><Relationship Id="rId31" Type="http://schemas.openxmlformats.org/officeDocument/2006/relationships/hyperlink" Target="https://www.amazon.com/PTF5610K000BZBF-Resistors-Through-10Kohms-PTF-56/dp/B09G76FF29" TargetMode="External"/><Relationship Id="rId30" Type="http://schemas.openxmlformats.org/officeDocument/2006/relationships/hyperlink" Target="https://www.amazon.com/AIEX-Syringe-Coupler-Adapter-Connector/dp/B0B8CJVX3S/ref=sr_1_6?crid=3UKJD68FJDZNZ&amp;dib=eyJ2IjoiMSJ9.u_PN1mS9LvJ3aVzB_G9dvSfK3Whg3nTGXuvP9qs14bLVhj_AG91K8WyPMNifNw4zdPyVEnjJLRWIz7XKPAeqmGTAR8Qjpgm3g6zzSnD1LmJBe6OEXOubVoOtQLKZnDfYa4g0BprbBqO_7_cPLrow4eexn4VxqXNUHlIEKvtihI0MpqkEEXr0YXlNcoquWi99Ob_JzoJ9c0WA5gTM-UmDcB8VSFKWTv3N5bQMh2caSpI.1twOed-fQsFS6RIg0sJtDDp7rTwhjnFumSMSJNbaj2w&amp;dib_tag=se&amp;keywords=Luer+Lock+Male+to+Barb+1%2F8&amp;qid=1763763586&amp;sprefix=luer+lock+male+to+barb+1%2F8%2Caps%2C373&amp;sr=8-6" TargetMode="External"/><Relationship Id="rId33" Type="http://schemas.openxmlformats.org/officeDocument/2006/relationships/hyperlink" Target="https://www.digikey.com/en/products/detail/stackpole-electronics-inc/RNF14BTE2K49/1752591" TargetMode="External"/><Relationship Id="rId32" Type="http://schemas.openxmlformats.org/officeDocument/2006/relationships/hyperlink" Target="https://www.digikey.com/en/products/detail/epcos-tdk-electronics/B57550G1103F005/3500387?gad_source=1&amp;gad_campaignid=20410122883&amp;gbraid=0AAAAADrbLlg3BC8QT_MjZwmdnuUJ2RqZr&amp;gclid=Cj0KCQiAoZDJBhC0ARIsAERP-F_cPuVRtPumX4ZWJ0FAd2ExPemP6zpWlRh1Dt565rzSBtsodWyIGsMaAn6-EALw_wcB&amp;gclsrc=aw.ds" TargetMode="External"/><Relationship Id="rId34" Type="http://schemas.openxmlformats.org/officeDocument/2006/relationships/drawing" Target="../drawings/drawing2.xml"/><Relationship Id="rId20" Type="http://schemas.openxmlformats.org/officeDocument/2006/relationships/hyperlink" Target="https://www.aliexpress.us/item/3256807576760784.html?spm=a2g0o.productlist.main.23.5719mgjtmgjtoc&amp;algo_pvid=b48ed3f1-1e7b-4d2b-9dba-db55b3baa9e9&amp;algo_exp_id=b48ed3f1-1e7b-4d2b-9dba-db55b3baa9e9-22&amp;pdp_ext_f=%7B%22order%22%3A%22360%22%2C%22eval%22%3A%221%22%2C%22fromPage%22%3A%22search%22%7D&amp;pdp_npi=6%40dis%21USD%218.68%215.64%21%21%218.68%215.64%21%40210337c117649171021446600e12dd%2112000042124227947%21sea%21US%21747277411%21X%211%210%21n_tag%3A-29919%3Bd%3Aab21f4a7%3Bm03_new_user%3A-29895&amp;curPageLogUid=tyVm4Ekr2Y1j&amp;utparam-url=scene%3Asearch%7Cquery_from%3A%7Cx_object_id%3A1005007763075536%7C_p_origin_prod%3A" TargetMode="External"/><Relationship Id="rId22" Type="http://schemas.openxmlformats.org/officeDocument/2006/relationships/hyperlink" Target="https://www.aliexpress.us/item/3256805515428257.html?spm=a2g0o.productlist.main.12.b9a24fabCcm4ia&amp;algo_pvid=7a0a762c-5333-4c23-b3af-1217d049f3b9&amp;algo_exp_id=7a0a762c-5333-4c23-b3af-1217d049f3b9-11&amp;pdp_ext_f=%7B%22order%22%3A%22118%22%2C%22eval%22%3A%221%22%2C%22fromPage%22%3A%22search%22%7D&amp;pdp_npi=6%40dis%21USD%212.04%212.04%21%21%212.04%212.04%21%4021033d9d17649692615688093e724d%2112000034054621268%21sea%21US%21747277411%21X%211%210%21n_tag%3A-29919%3Bd%3Aab21f4a7%3Bm03_new_user%3A-29895&amp;curPageLogUid=RA7wxDvjNB5x&amp;utparam-url=scene%3Asearch%7Cquery_from%3A%7Cx_object_id%3A1005005701743009%7C_p_origin_prod%3A" TargetMode="External"/><Relationship Id="rId21" Type="http://schemas.openxmlformats.org/officeDocument/2006/relationships/hyperlink" Target="https://www.aliexpress.us/item/3256804426987395.html?spm=a2g0o.productlist.main.11.1aba4fd5VuAlmR&amp;algo_pvid=252c2512-0ac7-4289-807f-c0a4db729d69&amp;algo_exp_id=252c2512-0ac7-4289-807f-c0a4db729d69-10&amp;pdp_ext_f=%7B%22order%22%3A%226433%22%2C%22eval%22%3A%221%22%2C%22fromPage%22%3A%22search%22%7D&amp;pdp_npi=6%40dis%21USD%212.43%212.33%21%21%212.43%212.33%21%40210319b017649682395008415e862f%2112000029832255305%21sea%21US%21747277411%21X%211%210%21n_tag%3A-29919%3Bd%3Aab21f4a7%3Bm03_new_user%3A-29895&amp;curPageLogUid=xIfYy00LLE2k&amp;utparam-url=scene%3Asearch%7Cquery_from%3A%7Cx_object_id%3A1005004613302147%7C_p_origin_prod%3A" TargetMode="External"/><Relationship Id="rId24" Type="http://schemas.openxmlformats.org/officeDocument/2006/relationships/hyperlink" Target="https://www.aliexpress.us/item/3256805577151044.html?spm=a2g0o.productlist.main.41.526a21e2eRKL10&amp;algo_pvid=ce215620-d0ac-4e16-b98a-50598b5bd71c&amp;algo_exp_id=ce215620-d0ac-4e16-b98a-50598b5bd71c-40&amp;pdp_ext_f=%7B%22order%22%3A%225028%22%2C%22eval%22%3A%221%22%2C%22fromPage%22%3A%22search%22%7D&amp;pdp_npi=6%40dis%21USD%213.12%213.03%21%21%213.12%213.03%21%402101e62517649699401255666eb282%2112000034265307542%21sea%21US%21747277411%21X%211%210%21n_tag%3A-29919%3Bd%3Aab21f4a7%3Bm03_new_user%3A-29895&amp;curPageLogUid=hN4PaRkEcDTU&amp;utparam-url=scene%3Asearch%7Cquery_from%3A%7Cx_object_id%3A1005005763465796%7C_p_origin_prod%3A" TargetMode="External"/><Relationship Id="rId23" Type="http://schemas.openxmlformats.org/officeDocument/2006/relationships/hyperlink" Target="https://www.aliexpress.us/item/3256803424019097.html?spm=a2g0o.productlist.main.5.2f51ahMPahMPre&amp;algo_pvid=ca28db62-b45c-4777-ac3d-800d131b75c4&amp;algo_exp_id=ca28db62-b45c-4777-ac3d-800d131b75c4-4&amp;pdp_ext_f=%7B%22order%22%3A%221099%22%2C%22eval%22%3A%221%22%2C%22fromPage%22%3A%22search%22%7D&amp;pdp_npi=6%40dis%21USD%213.86%213.74%21%21%213.86%213.74%21%402103129017649695130198003e9e50%2112000026601252522%21sea%21US%21747277411%21X%211%210%21n_tag%3A-29919%3Bd%3Aab21f4a7%3Bm03_new_user%3A-29895&amp;curPageLogUid=tNNR6Pz63qkk&amp;utparam-url=scene%3Asearch%7Cquery_from%3A%7Cx_object_id%3A1005003610333849%7C_p_origin_prod%3A" TargetMode="External"/><Relationship Id="rId26" Type="http://schemas.openxmlformats.org/officeDocument/2006/relationships/hyperlink" Target="https://www.aliexpress.us/item/3256809286779220.html?spm=a2g0o.productlist.main.2.7ce844e4rVHQLP&amp;algo_pvid=2d916566-9f9f-4973-85ac-294f6280b9b9&amp;algo_exp_id=2d916566-9f9f-4973-85ac-294f6280b9b9-1&amp;pdp_ext_f=%7B%22order%22%3A%221%22%2C%22eval%22%3A%221%22%2C%22fromPage%22%3A%22search%22%7D&amp;pdp_npi=6%40dis%21USD%2119.48%2115.97%21%21%2119.48%2115.97%21%402103212b17649707891044838ee9a8%2112000049210267470%21sea%21US%21747277411%21X%211%210%21n_tag%3A-29919%3Bd%3Aab21f4a7%3Bm03_new_user%3A-29895&amp;curPageLogUid=kWDl0wbewySA&amp;utparam-url=scene%3Asearch%7Cquery_from%3A%7Cx_object_id%3A1005009473093972%7C_p_origin_prod%3A" TargetMode="External"/><Relationship Id="rId25" Type="http://schemas.openxmlformats.org/officeDocument/2006/relationships/hyperlink" Target="https://www.amazon.com/dp/B07YWBXVND?ref_=ppx_hzsearch_conn_dt_b_fed_asin_title_2&amp;th=1" TargetMode="External"/><Relationship Id="rId28" Type="http://schemas.openxmlformats.org/officeDocument/2006/relationships/hyperlink" Target="https://www.aliexpress.us/item/3256806271288304.html?spm=a2g0o.productlist.main.11.10f2hIlZhIlZPv&amp;algo_pvid=c2270912-18d7-4f23-9627-f3d06a2cb493&amp;algo_exp_id=c2270912-18d7-4f23-9627-f3d06a2cb493-10&amp;pdp_ext_f=%7B%22order%22%3A%22837%22%2C%22eval%22%3A%221%22%2C%22fromPage%22%3A%22search%22%7D&amp;pdp_npi=6%40dis%21USD%211.00%211.00%21%21%217.05%217.05%21%40210311cc17649712692717995e064a%2112000037267934125%21sea%21US%21747277411%21X%211%210%21n_tag%3A-29919%3Bd%3Aab21f4a7%3Bm03_new_user%3A-29895&amp;curPageLogUid=6h4WNfpqXEIP&amp;utparam-url=scene%3Asearch%7Cquery_from%3A%7Cx_object_id%3A1005006457603056%7C_p_origin_prod%3A" TargetMode="External"/><Relationship Id="rId27" Type="http://schemas.openxmlformats.org/officeDocument/2006/relationships/hyperlink" Target="https://www.aliexpress.us/item/3256802954170154.html?spm=a2g0o.productlist.main.6.2893fca0yr7WAk&amp;algo_pvid=52367771-8c12-4ce0-9c02-2bddcb3b012e&amp;algo_exp_id=52367771-8c12-4ce0-9c02-2bddcb3b012e-5&amp;pdp_ext_f=%7B%22order%22%3A%22667%22%2C%22eval%22%3A%221%22%2C%22fromPage%22%3A%22search%22%7D&amp;pdp_npi=6%40dis%21USD%212.86%212.86%21%21%212.86%212.86%21%4021032f3717649711325343740e5975%2112000036189490937%21sea%21US%21747277411%21X%211%210%21n_tag%3A-29919%3Bd%3Aab21f4a7%3Bm03_new_user%3A-29895&amp;curPageLogUid=QPYlJY3zycg1&amp;utparam-url=scene%3Asearch%7Cquery_from%3A%7Cx_object_id%3A1005003140484906%7C_p_origin_prod%3A" TargetMode="External"/><Relationship Id="rId29" Type="http://schemas.openxmlformats.org/officeDocument/2006/relationships/hyperlink" Target="https://www.amazon.com/Syringe-Adapter-Female-Connector-Coupler/dp/B0BMFJSJP1/ref=sr_1_3?dib=eyJ2IjoiMSJ9.Y5fGPCEMOqXqEJVSGK0GPDMWkj7T7FTGoiYmQbk_SmZ7MjBzYdG44m3liHphk-PQz0iqbj8FzCQmHpgPv5FTU_hVxm06LYT0zlP8d9ReG8H5bND4sTWDkaq1Xxp4w2tML88NZyf8Y9VvHIhcEpqykfSiciW06pnlaNNZM3wLVJ_e3Rr4ljFrVk1lMNjI5vZtmElWmu93G40Khj7XP2U5NWdpQYwCvCKSPqsLvBsrZDo.TSxgky-3RP1Fj6ZSzk0cWAJ0-Jk2s8LOnNWmL3bMOtA&amp;dib_tag=se&amp;keywords=Luer+Lock+Female+to+Barb+1%2F8%22&amp;qid=1763763503&amp;sr=8-3" TargetMode="External"/><Relationship Id="rId11" Type="http://schemas.openxmlformats.org/officeDocument/2006/relationships/hyperlink" Target="https://www.aliexpress.us/item/3256806995523749.html?spm=a2g0o.productlist.main.5.7b364cf2Xhggsx&amp;algo_pvid=a09e216f-732b-495a-9a33-84fb32b99d15&amp;algo_exp_id=a09e216f-732b-495a-9a33-84fb32b99d15-4&amp;pdp_ext_f=%7B%22order%22%3A%221746%22%2C%22eval%22%3A%221%22%2C%22fromPage%22%3A%22search%22%7D&amp;pdp_npi=6%40dis%21USD%214.60%214.28%21%21%214.60%214.28%21%4021030a4b17649153619176941e2796%2112000039723470846%21sea%21US%21747277411%21X%211%210%21n_tag%3A-29919%3Bd%3Aab21f4a7%3Bm03_new_user%3A-29895&amp;curPageLogUid=ehhkYzvOyuks&amp;utparam-url=scene%3Asearch%7Cquery_from%3A%7Cx_object_id%3A1005007181838501%7C_p_origin_prod%3A" TargetMode="External"/><Relationship Id="rId10" Type="http://schemas.openxmlformats.org/officeDocument/2006/relationships/hyperlink" Target="https://www.aliexpress.us/item/3256808853354044.html?spm=a2g0o.productlist.main.13.2588ea095O0xJA&amp;algo_pvid=32f205a5-a580-4977-9da3-90709ba14093&amp;algo_exp_id=32f205a5-a580-4977-9da3-90709ba14093-12&amp;pdp_ext_f=%7B%22order%22%3A%2211%22%2C%22eval%22%3A%221%22%2C%22fromPage%22%3A%22search%22%7D&amp;pdp_npi=6%40dis%21USD%2115.58%2115.58%21%21%21109.50%21109.50%21%402103212317649721364094412e8922%2112000047677358878%21sea%21US%21747277411%21X%211%210%21n_tag%3A-29919%3Bd%3Aab21f4a7%3Bm03_new_user%3A-29895&amp;curPageLogUid=15EhXzMV496T&amp;utparam-url=scene%3Asearch%7Cquery_from%3A%7Cx_object_id%3A1005009039668796%7C_p_origin_prod%3A" TargetMode="External"/><Relationship Id="rId13" Type="http://schemas.openxmlformats.org/officeDocument/2006/relationships/hyperlink" Target="https://www.aliexpress.us/item/3256809102805756.html?spm=a2g0o.productlist.main.57.cfc473c98po0aw&amp;algo_pvid=7ec3946f-e5a6-4c65-95a4-34d039e933ea&amp;algo_exp_id=7ec3946f-e5a6-4c65-95a4-34d039e933ea-56&amp;pdp_ext_f=%7B%22order%22%3A%2274%22%2C%22eval%22%3A%221%22%2C%22fromPage%22%3A%22search%22%7D&amp;pdp_npi=6%40dis%21USD%211.67%211.67%21%21%211.67%211.67%21%402103274e17649155985118062e4acb%2112000048625144613%21sea%21US%21747277411%21X%211%210%21n_tag%3A-29919%3Bd%3Aab21f4a7%3Bm03_new_user%3A-29895&amp;curPageLogUid=IOLAuUAzc9Qd&amp;utparam-url=scene%3Asearch%7Cquery_from%3A%7Cx_object_id%3A1005009289120508%7C_p_origin_prod%3A" TargetMode="External"/><Relationship Id="rId12" Type="http://schemas.openxmlformats.org/officeDocument/2006/relationships/hyperlink" Target="https://www.aliexpress.us/item/3256806077264771.html?spm=a2" TargetMode="External"/><Relationship Id="rId15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4" Type="http://schemas.openxmlformats.org/officeDocument/2006/relationships/hyperlink" Target="https://www.aliexpress.us/item/3256805863280885.html?spm=a2g0o.productlist.main.9.78efd500VA7EwG&amp;algo_pvid=fbce2b67-5299-4700-937d-c4d73b468a4e&amp;algo_exp_id=fbce2b67-5299-4700-937d-c4d73b468a4e-8&amp;pdp_ext_f=%7B%22order%22%3A%221739%22%2C%22eval%22%3A%221%22%2C%22fromPage%22%3A%22search%22%7D&amp;pdp_npi=6%40dis%21USD%212.47%212.40%21%21%212.47%212.40%21%402103129017649157665381645eb018%2112000035491390235%21sea%21US%21747277411%21X%211%210%21n_tag%3A-29919%3Bd%3Aab21f4a7%3Bm03_new_user%3A-29895&amp;curPageLogUid=uJjQn4AfzCel&amp;utparam-url=scene%3Asearch%7Cquery_from%3A%7Cx_object_id%3A1005006049595637%7C_p_origin_prod%3A" TargetMode="External"/><Relationship Id="rId17" Type="http://schemas.openxmlformats.org/officeDocument/2006/relationships/hyperlink" Target="https://www.aliexpress.us/item/2255801153708621.html?spm=a2g0o.productlist.main.1.208d56a4kirNUP&amp;algo_pvid=67645c72-ade3-44cd-9662-20dba6a8dd46&amp;algo_exp_id=67645c72-ade3-44cd-9662-20dba6a8dd46-0&amp;pdp_ext_f=%7B%22order%22%3A%228%22%2C%22eval%22%3A%221%22%2C%22fromPage%22%3A%22search%22%7D&amp;pdp_npi=6%40dis%21USD%211.15%211.15%21%21%218.10%218.10%21%402101c44f17649165141543145e22b1%2110000015736316084%21sea%21US%21747277411%21X%211%210%21n_tag%3A-29919%3Bd%3Aab21f4a7%3Bm03_new_user%3A-29895&amp;curPageLogUid=j1jyPPY7cOp3&amp;utparam-url=scene%3Asearch%7Cquery_from%3A%7Cx_object_id%3A4001340023373%7C_p_origin_prod%3A" TargetMode="External"/><Relationship Id="rId16" Type="http://schemas.openxmlformats.org/officeDocument/2006/relationships/hyperlink" Target="https://www.aliexpress.us/item/2255800730053112.html?spm=a2g0o.productlist.main.14.7afb5ede2JCf4T&amp;algo_pvid=6f34d44c-c350-4ed3-91eb-548d04a3b562&amp;algo_exp_id=6f34d44c-c350-4ed3-91eb-548d04a3b562-13&amp;pdp_ext_f=%7B%22order%22%3A%22124%22%2C%22eval%22%3A%221%22%2C%22fromPage%22%3A%22search%22%7D&amp;pdp_npi=6%40dis%21USD%212.68%212.68%21%21%212.68%212.68%21%40210311a017649162565895912e40b1%2112000024773918667%21sea%21US%21747277411%21X%211%210%21n_tag%3A-29919%3Bd%3Aab21f4a7%3Bm03_new_user%3A-29895&amp;curPageLogUid=V4wyD2ZV2IoS&amp;utparam-url=scene%3Asearch%7Cquery_from%3A%7Cx_object_id%3A4000916367864%7C_p_origin_prod%3A" TargetMode="External"/><Relationship Id="rId19" Type="http://schemas.openxmlformats.org/officeDocument/2006/relationships/hyperlink" Target="https://www.aliexpress.us/item/3256803320286941.html?spm=a2g0o.productlist.main.3.550c6decMsRXTQ&amp;algo_pvid=6e9f4e57-8bc9-4524-9638-3283ab8014e9&amp;algo_exp_id=6e9f4e57-8bc9-4524-9638-3283ab8014e9-2&amp;pdp_ext_f=%7B%22order%22%3A%2211%22%2C%22eval%22%3A%221%22%2C%22fromPage%22%3A%22search%22%7D&amp;pdp_npi=6%40dis%21USD%212.41%212.41%21%21%212.41%212.41%21%40210319b717649169360802719e4e63%2112000026097979457%21sea%21US%21747277411%21X%211%210%21n_tag%3A-29919%3Bd%3Aab21f4a7%3Bm03_new_user%3A-29895&amp;curPageLogUid=eMrwFr4nFsgy&amp;utparam-url=scene%3Asearch%7Cquery_from%3A%7Cx_object_id%3A1005003506601693%7C_p_origin_prod%3A" TargetMode="External"/><Relationship Id="rId18" Type="http://schemas.openxmlformats.org/officeDocument/2006/relationships/hyperlink" Target="https://www.aliexpress.us/item/3256803514646833.html?invitationCode=akgzWUVSVmo4S243RDZjc2I1WTBmZDdJR3pzQURNd2lhT1EvZGRQRTB3NGpmdlBzNkVmWTlBPT0&amp;srcSns=sns_Copy&amp;spreadType=socialShare&amp;social_params=22001701570&amp;bizType=ProductDetail&amp;spreadCode=akgzWUVSVmo4S243RDZjc2I1WTBmZDdJR3pzQURNd2lhT1EvZGRQRTB3NGpmdlBzNkVmWTlBPT0&amp;aff_fcid=7123f628675e49b5aecf6af8bab31bc0-1764972072462-06005-_mLweBul&amp;tt=MG&amp;aff_fsk=_mLweBul&amp;aff_platform=default&amp;sk=_mLweBul&amp;aff_trace_key=7123f628675e49b5aecf6af8bab31bc0-1764972072462-06005-_mLweBul&amp;shareId=22001701570&amp;businessType=ProductDetail&amp;platform=AE&amp;terminal_id=745bae63bc244e6084a18edf4a9bfe2c&amp;afSmartRedirect=y&amp;gatewayAdapt=glo2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6.43"/>
    <col customWidth="1" min="3" max="3" width="14.71"/>
    <col customWidth="1" min="4" max="5" width="12.57"/>
    <col customWidth="1" min="6" max="6" width="12.14"/>
    <col customWidth="1" min="7" max="7" width="68.29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3">
        <v>1.0</v>
      </c>
      <c r="C2" s="3">
        <v>1.0</v>
      </c>
      <c r="D2" s="4">
        <v>9.98</v>
      </c>
      <c r="E2" s="4">
        <v>9.98</v>
      </c>
      <c r="F2" s="3" t="s">
        <v>8</v>
      </c>
      <c r="G2" s="5" t="s">
        <v>9</v>
      </c>
    </row>
    <row r="3" ht="14.25" customHeight="1">
      <c r="A3" s="3" t="s">
        <v>10</v>
      </c>
      <c r="B3" s="3">
        <v>1.0</v>
      </c>
      <c r="C3" s="3">
        <v>1.0</v>
      </c>
      <c r="D3" s="4">
        <v>10.01</v>
      </c>
      <c r="E3" s="4">
        <v>10.01</v>
      </c>
      <c r="F3" s="3" t="s">
        <v>8</v>
      </c>
      <c r="G3" s="5" t="s">
        <v>11</v>
      </c>
    </row>
    <row r="4" ht="14.25" customHeight="1">
      <c r="A4" s="3" t="s">
        <v>12</v>
      </c>
      <c r="B4" s="3">
        <v>1.0</v>
      </c>
      <c r="C4" s="3">
        <v>1.0</v>
      </c>
      <c r="D4" s="4">
        <v>14.0</v>
      </c>
      <c r="E4" s="4">
        <v>14.0</v>
      </c>
      <c r="F4" s="3" t="s">
        <v>13</v>
      </c>
      <c r="G4" s="5" t="s">
        <v>14</v>
      </c>
    </row>
    <row r="5" ht="14.25" customHeight="1">
      <c r="A5" s="3" t="s">
        <v>15</v>
      </c>
      <c r="B5" s="3">
        <v>1.0</v>
      </c>
      <c r="C5" s="3">
        <v>5.0</v>
      </c>
      <c r="D5" s="4">
        <v>2.6</v>
      </c>
      <c r="E5" s="4">
        <v>2.6</v>
      </c>
      <c r="F5" s="3" t="s">
        <v>8</v>
      </c>
      <c r="G5" s="5" t="s">
        <v>16</v>
      </c>
    </row>
    <row r="6" ht="14.25" customHeight="1">
      <c r="A6" s="3" t="s">
        <v>17</v>
      </c>
      <c r="B6" s="3">
        <v>1.0</v>
      </c>
      <c r="C6" s="3">
        <v>2.0</v>
      </c>
      <c r="D6" s="4">
        <v>2.8</v>
      </c>
      <c r="E6" s="4">
        <v>2.8</v>
      </c>
      <c r="F6" s="3" t="s">
        <v>13</v>
      </c>
      <c r="G6" s="5" t="s">
        <v>18</v>
      </c>
    </row>
    <row r="7" ht="14.25" customHeight="1">
      <c r="A7" s="3" t="s">
        <v>19</v>
      </c>
      <c r="B7" s="3">
        <v>1.0</v>
      </c>
      <c r="C7" s="3">
        <v>1.0</v>
      </c>
      <c r="D7" s="4">
        <v>1.58</v>
      </c>
      <c r="E7" s="4">
        <v>1.58</v>
      </c>
      <c r="F7" s="3" t="s">
        <v>8</v>
      </c>
      <c r="G7" s="5" t="s">
        <v>20</v>
      </c>
    </row>
    <row r="8" ht="14.25" customHeight="1">
      <c r="A8" s="3" t="s">
        <v>21</v>
      </c>
      <c r="B8" s="3">
        <v>4.0</v>
      </c>
      <c r="C8" s="3">
        <v>1.0</v>
      </c>
      <c r="D8" s="4">
        <v>3.66</v>
      </c>
      <c r="E8" s="4">
        <f>B8*D8</f>
        <v>14.64</v>
      </c>
      <c r="F8" s="3" t="s">
        <v>8</v>
      </c>
      <c r="G8" s="5" t="s">
        <v>22</v>
      </c>
    </row>
    <row r="9" ht="14.25" customHeight="1">
      <c r="A9" s="3" t="s">
        <v>23</v>
      </c>
      <c r="B9" s="3">
        <v>1.0</v>
      </c>
      <c r="C9" s="3">
        <v>1.0</v>
      </c>
      <c r="D9" s="4">
        <v>1.08</v>
      </c>
      <c r="E9" s="4">
        <v>1.08</v>
      </c>
      <c r="F9" s="3" t="s">
        <v>8</v>
      </c>
      <c r="G9" s="6" t="s">
        <v>24</v>
      </c>
    </row>
    <row r="10" ht="14.25" customHeight="1">
      <c r="A10" s="3" t="s">
        <v>25</v>
      </c>
      <c r="B10" s="3">
        <v>3.0</v>
      </c>
      <c r="C10" s="3">
        <v>10.0</v>
      </c>
      <c r="D10" s="4">
        <v>4.68</v>
      </c>
      <c r="E10" s="4">
        <v>4.68</v>
      </c>
      <c r="F10" s="3" t="s">
        <v>8</v>
      </c>
      <c r="G10" s="5" t="s">
        <v>26</v>
      </c>
    </row>
    <row r="11" ht="14.25" customHeight="1">
      <c r="A11" s="3" t="s">
        <v>27</v>
      </c>
      <c r="B11" s="3">
        <v>2.0</v>
      </c>
      <c r="C11" s="3">
        <v>2.0</v>
      </c>
      <c r="D11" s="4">
        <v>1.09</v>
      </c>
      <c r="E11" s="4">
        <v>1.09</v>
      </c>
      <c r="F11" s="3" t="s">
        <v>8</v>
      </c>
      <c r="G11" s="5" t="s">
        <v>28</v>
      </c>
    </row>
    <row r="12" ht="14.25" customHeight="1">
      <c r="A12" s="3" t="s">
        <v>29</v>
      </c>
      <c r="B12" s="3">
        <v>1.0</v>
      </c>
      <c r="C12" s="3">
        <v>1.0</v>
      </c>
      <c r="D12" s="4">
        <v>3.52</v>
      </c>
      <c r="E12" s="4">
        <v>3.52</v>
      </c>
      <c r="F12" s="3" t="s">
        <v>8</v>
      </c>
      <c r="G12" s="5" t="s">
        <v>30</v>
      </c>
    </row>
    <row r="13" ht="14.25" customHeight="1">
      <c r="A13" s="3" t="s">
        <v>31</v>
      </c>
      <c r="B13" s="3">
        <v>1.0</v>
      </c>
      <c r="C13" s="3">
        <v>1.0</v>
      </c>
      <c r="D13" s="4">
        <v>17.4</v>
      </c>
      <c r="E13" s="4">
        <v>17.4</v>
      </c>
      <c r="F13" s="3" t="s">
        <v>8</v>
      </c>
      <c r="G13" s="5" t="s">
        <v>32</v>
      </c>
    </row>
    <row r="14" ht="14.25" customHeight="1">
      <c r="A14" s="3" t="s">
        <v>33</v>
      </c>
      <c r="B14" s="3">
        <v>1.0</v>
      </c>
      <c r="C14" s="3">
        <v>1.0</v>
      </c>
      <c r="D14" s="4">
        <v>15.58</v>
      </c>
      <c r="E14" s="4">
        <v>15.58</v>
      </c>
      <c r="F14" s="3" t="s">
        <v>8</v>
      </c>
      <c r="G14" s="5" t="s">
        <v>34</v>
      </c>
    </row>
    <row r="15" ht="14.25" customHeight="1">
      <c r="A15" s="3" t="s">
        <v>35</v>
      </c>
      <c r="B15" s="3">
        <v>1.0</v>
      </c>
      <c r="C15" s="3">
        <v>1.0</v>
      </c>
      <c r="D15" s="4">
        <v>4.65</v>
      </c>
      <c r="E15" s="4">
        <v>4.65</v>
      </c>
      <c r="F15" s="3" t="s">
        <v>8</v>
      </c>
      <c r="G15" s="5" t="s">
        <v>36</v>
      </c>
    </row>
    <row r="16" ht="14.25" customHeight="1">
      <c r="A16" s="3" t="s">
        <v>37</v>
      </c>
      <c r="B16" s="3">
        <v>50.0</v>
      </c>
      <c r="C16" s="3">
        <v>100.0</v>
      </c>
      <c r="D16" s="4">
        <v>1.35</v>
      </c>
      <c r="E16" s="4">
        <v>1.35</v>
      </c>
      <c r="F16" s="3" t="s">
        <v>8</v>
      </c>
      <c r="G16" s="5" t="s">
        <v>38</v>
      </c>
    </row>
    <row r="17" ht="14.25" customHeight="1">
      <c r="A17" s="3" t="s">
        <v>39</v>
      </c>
      <c r="B17" s="3">
        <v>100.0</v>
      </c>
      <c r="C17" s="3">
        <v>100.0</v>
      </c>
      <c r="D17" s="4">
        <v>1.67</v>
      </c>
      <c r="E17" s="4">
        <v>1.67</v>
      </c>
      <c r="F17" s="3" t="s">
        <v>8</v>
      </c>
      <c r="G17" s="5" t="s">
        <v>40</v>
      </c>
    </row>
    <row r="18" ht="14.25" customHeight="1">
      <c r="A18" s="3" t="s">
        <v>41</v>
      </c>
      <c r="B18" s="3">
        <v>20.0</v>
      </c>
      <c r="C18" s="3">
        <v>20.0</v>
      </c>
      <c r="D18" s="4">
        <v>3.25</v>
      </c>
      <c r="E18" s="4">
        <v>3.25</v>
      </c>
      <c r="F18" s="3" t="s">
        <v>8</v>
      </c>
      <c r="G18" s="5" t="s">
        <v>42</v>
      </c>
    </row>
    <row r="19" ht="14.25" customHeight="1">
      <c r="A19" s="3" t="s">
        <v>43</v>
      </c>
      <c r="B19" s="3">
        <v>20.0</v>
      </c>
      <c r="C19" s="3">
        <v>20.0</v>
      </c>
      <c r="D19" s="4">
        <v>2.81</v>
      </c>
      <c r="E19" s="4">
        <v>2.81</v>
      </c>
      <c r="F19" s="3" t="s">
        <v>8</v>
      </c>
      <c r="G19" s="5" t="s">
        <v>42</v>
      </c>
    </row>
    <row r="20" ht="14.25" customHeight="1">
      <c r="A20" s="3" t="s">
        <v>44</v>
      </c>
      <c r="B20" s="3">
        <v>2.0</v>
      </c>
      <c r="C20" s="3">
        <v>20.0</v>
      </c>
      <c r="D20" s="4">
        <v>5.0</v>
      </c>
      <c r="E20" s="4">
        <v>5.0</v>
      </c>
      <c r="F20" s="3" t="s">
        <v>8</v>
      </c>
      <c r="G20" s="6" t="s">
        <v>45</v>
      </c>
    </row>
    <row r="21" ht="14.25" customHeight="1">
      <c r="A21" s="3" t="s">
        <v>46</v>
      </c>
      <c r="B21" s="3">
        <v>1.0</v>
      </c>
      <c r="C21" s="3">
        <v>1.0</v>
      </c>
      <c r="D21" s="4">
        <v>3.83</v>
      </c>
      <c r="E21" s="4">
        <v>3.83</v>
      </c>
      <c r="F21" s="3" t="s">
        <v>8</v>
      </c>
      <c r="G21" s="5" t="s">
        <v>47</v>
      </c>
    </row>
    <row r="22" ht="14.25" customHeight="1">
      <c r="A22" s="3" t="s">
        <v>48</v>
      </c>
      <c r="B22" s="3">
        <v>4.0</v>
      </c>
      <c r="C22" s="3">
        <v>12.0</v>
      </c>
      <c r="D22" s="4">
        <v>3.74</v>
      </c>
      <c r="E22" s="4">
        <v>3.74</v>
      </c>
      <c r="F22" s="3" t="s">
        <v>8</v>
      </c>
      <c r="G22" s="5" t="s">
        <v>49</v>
      </c>
    </row>
    <row r="23" ht="14.25" customHeight="1">
      <c r="A23" s="3" t="s">
        <v>50</v>
      </c>
      <c r="B23" s="3">
        <v>1.0</v>
      </c>
      <c r="C23" s="3">
        <v>1.0</v>
      </c>
      <c r="D23" s="4">
        <v>1.15</v>
      </c>
      <c r="E23" s="4">
        <v>1.15</v>
      </c>
      <c r="F23" s="3" t="s">
        <v>8</v>
      </c>
      <c r="G23" s="5" t="s">
        <v>51</v>
      </c>
    </row>
    <row r="24" ht="14.25" customHeight="1">
      <c r="A24" s="3" t="s">
        <v>52</v>
      </c>
      <c r="B24" s="3">
        <v>1.0</v>
      </c>
      <c r="C24" s="3">
        <v>6.0</v>
      </c>
      <c r="D24" s="4">
        <v>16.99</v>
      </c>
      <c r="E24" s="4">
        <v>16.99</v>
      </c>
      <c r="F24" s="3" t="s">
        <v>8</v>
      </c>
      <c r="G24" s="6" t="s">
        <v>53</v>
      </c>
    </row>
    <row r="25" ht="14.25" customHeight="1">
      <c r="A25" s="3" t="s">
        <v>54</v>
      </c>
      <c r="B25" s="3">
        <v>1.0</v>
      </c>
      <c r="C25" s="3">
        <v>1.0</v>
      </c>
      <c r="D25" s="4">
        <v>2.41</v>
      </c>
      <c r="E25" s="4">
        <v>2.41</v>
      </c>
      <c r="F25" s="3" t="s">
        <v>8</v>
      </c>
      <c r="G25" s="5" t="s">
        <v>55</v>
      </c>
    </row>
    <row r="26" ht="14.25" customHeight="1">
      <c r="A26" s="3" t="s">
        <v>56</v>
      </c>
      <c r="B26" s="3">
        <v>1.0</v>
      </c>
      <c r="C26" s="3">
        <v>1.0</v>
      </c>
      <c r="D26" s="4">
        <v>5.64</v>
      </c>
      <c r="E26" s="4">
        <v>5.64</v>
      </c>
      <c r="F26" s="3" t="s">
        <v>8</v>
      </c>
      <c r="G26" s="5" t="s">
        <v>57</v>
      </c>
    </row>
    <row r="27" ht="14.25" customHeight="1">
      <c r="A27" s="3" t="s">
        <v>58</v>
      </c>
      <c r="B27" s="3">
        <v>1.0</v>
      </c>
      <c r="C27" s="3" t="s">
        <v>59</v>
      </c>
      <c r="D27" s="4">
        <f t="shared" ref="D27:E27" si="1">sum(1.82+2.11)</f>
        <v>3.93</v>
      </c>
      <c r="E27" s="4">
        <f t="shared" si="1"/>
        <v>3.93</v>
      </c>
      <c r="F27" s="3" t="s">
        <v>8</v>
      </c>
      <c r="G27" s="5" t="s">
        <v>60</v>
      </c>
    </row>
    <row r="28" ht="14.25" customHeight="1">
      <c r="A28" s="3" t="s">
        <v>61</v>
      </c>
      <c r="B28" s="3">
        <v>1.0</v>
      </c>
      <c r="C28" s="3" t="s">
        <v>59</v>
      </c>
      <c r="D28" s="4">
        <f t="shared" ref="D28:E28" si="2">sum(1.87+2.18+3.01)</f>
        <v>7.06</v>
      </c>
      <c r="E28" s="4">
        <f t="shared" si="2"/>
        <v>7.06</v>
      </c>
      <c r="F28" s="3" t="s">
        <v>8</v>
      </c>
      <c r="G28" s="5" t="s">
        <v>62</v>
      </c>
    </row>
    <row r="29" ht="14.25" customHeight="1">
      <c r="A29" s="3" t="s">
        <v>63</v>
      </c>
      <c r="B29" s="3">
        <v>1.0</v>
      </c>
      <c r="C29" s="3">
        <v>1.0</v>
      </c>
      <c r="D29" s="4">
        <v>2.43</v>
      </c>
      <c r="E29" s="4">
        <v>2.43</v>
      </c>
      <c r="F29" s="3" t="s">
        <v>8</v>
      </c>
      <c r="G29" s="5" t="s">
        <v>64</v>
      </c>
    </row>
    <row r="30" ht="14.25" customHeight="1">
      <c r="A30" s="3" t="s">
        <v>65</v>
      </c>
      <c r="B30" s="3">
        <v>1.0</v>
      </c>
      <c r="C30" s="3">
        <v>5.0</v>
      </c>
      <c r="D30" s="4">
        <v>1.43</v>
      </c>
      <c r="E30" s="4">
        <v>1.43</v>
      </c>
      <c r="F30" s="3" t="s">
        <v>8</v>
      </c>
      <c r="G30" s="5" t="s">
        <v>66</v>
      </c>
    </row>
    <row r="31" ht="14.25" customHeight="1">
      <c r="A31" s="3" t="s">
        <v>67</v>
      </c>
      <c r="B31" s="3">
        <v>1.0</v>
      </c>
      <c r="C31" s="3">
        <v>5.0</v>
      </c>
      <c r="D31" s="4">
        <v>3.18</v>
      </c>
      <c r="E31" s="4">
        <v>3.18</v>
      </c>
      <c r="F31" s="3" t="s">
        <v>8</v>
      </c>
      <c r="G31" s="5" t="s">
        <v>68</v>
      </c>
    </row>
    <row r="32" ht="14.25" customHeight="1">
      <c r="A32" s="3" t="s">
        <v>69</v>
      </c>
      <c r="B32" s="3" t="s">
        <v>70</v>
      </c>
      <c r="C32" s="3" t="s">
        <v>70</v>
      </c>
      <c r="D32" s="4">
        <v>6.02</v>
      </c>
      <c r="E32" s="4">
        <v>6.02</v>
      </c>
      <c r="F32" s="3" t="s">
        <v>8</v>
      </c>
      <c r="G32" s="5" t="s">
        <v>71</v>
      </c>
    </row>
    <row r="33" ht="14.25" customHeight="1">
      <c r="A33" s="3" t="s">
        <v>72</v>
      </c>
      <c r="B33" s="3">
        <v>1.0</v>
      </c>
      <c r="C33" s="3">
        <v>1.0</v>
      </c>
      <c r="D33" s="4">
        <v>2.04</v>
      </c>
      <c r="E33" s="4">
        <v>2.04</v>
      </c>
      <c r="F33" s="3" t="s">
        <v>8</v>
      </c>
      <c r="G33" s="5" t="s">
        <v>73</v>
      </c>
    </row>
    <row r="34" ht="14.25" customHeight="1">
      <c r="A34" s="3" t="s">
        <v>74</v>
      </c>
      <c r="B34" s="3">
        <v>1.0</v>
      </c>
      <c r="C34" s="3">
        <v>10.0</v>
      </c>
      <c r="D34" s="4">
        <v>6.36</v>
      </c>
      <c r="E34" s="4">
        <v>6.36</v>
      </c>
      <c r="F34" s="3" t="s">
        <v>8</v>
      </c>
      <c r="G34" s="5" t="s">
        <v>75</v>
      </c>
    </row>
    <row r="35" ht="14.25" customHeight="1">
      <c r="A35" s="3" t="s">
        <v>76</v>
      </c>
      <c r="B35" s="3">
        <v>2.0</v>
      </c>
      <c r="C35" s="3">
        <v>10.0</v>
      </c>
      <c r="D35" s="4">
        <v>3.93</v>
      </c>
      <c r="E35" s="4">
        <v>3.93</v>
      </c>
      <c r="F35" s="3" t="s">
        <v>8</v>
      </c>
      <c r="G35" s="5" t="s">
        <v>77</v>
      </c>
    </row>
    <row r="36" ht="14.25" customHeight="1">
      <c r="A36" s="3" t="s">
        <v>78</v>
      </c>
      <c r="B36" s="3">
        <v>1.0</v>
      </c>
      <c r="C36" s="3">
        <v>10.0</v>
      </c>
      <c r="D36" s="4">
        <v>1.54</v>
      </c>
      <c r="E36" s="4">
        <v>1.54</v>
      </c>
      <c r="F36" s="3" t="s">
        <v>8</v>
      </c>
      <c r="G36" s="5" t="s">
        <v>79</v>
      </c>
    </row>
    <row r="37" ht="14.25" customHeight="1">
      <c r="A37" s="3" t="s">
        <v>80</v>
      </c>
      <c r="B37" s="3">
        <v>4.0</v>
      </c>
      <c r="C37" s="3">
        <v>100.0</v>
      </c>
      <c r="D37" s="4">
        <v>1.26</v>
      </c>
      <c r="E37" s="4">
        <v>1.26</v>
      </c>
      <c r="F37" s="3" t="s">
        <v>8</v>
      </c>
      <c r="G37" s="5" t="s">
        <v>81</v>
      </c>
    </row>
    <row r="38" ht="14.25" customHeight="1">
      <c r="A38" s="3" t="s">
        <v>82</v>
      </c>
      <c r="B38" s="3">
        <v>1.0</v>
      </c>
      <c r="C38" s="3">
        <v>1.0</v>
      </c>
      <c r="D38" s="4">
        <v>8.05</v>
      </c>
      <c r="E38" s="4">
        <v>8.05</v>
      </c>
      <c r="F38" s="3" t="s">
        <v>8</v>
      </c>
      <c r="G38" s="5" t="s">
        <v>83</v>
      </c>
    </row>
    <row r="39" ht="14.25" customHeight="1">
      <c r="A39" s="3" t="s">
        <v>84</v>
      </c>
      <c r="B39" s="3">
        <v>1.0</v>
      </c>
      <c r="C39" s="3">
        <v>40.0</v>
      </c>
      <c r="D39" s="4">
        <v>2.92</v>
      </c>
      <c r="E39" s="4">
        <v>2.92</v>
      </c>
      <c r="F39" s="3" t="s">
        <v>8</v>
      </c>
      <c r="G39" s="5" t="s">
        <v>85</v>
      </c>
    </row>
    <row r="40" ht="14.25" customHeight="1">
      <c r="A40" s="3" t="s">
        <v>86</v>
      </c>
      <c r="B40" s="3">
        <v>5.0</v>
      </c>
      <c r="C40" s="3">
        <v>10.0</v>
      </c>
      <c r="D40" s="4">
        <v>11.15</v>
      </c>
      <c r="E40" s="4">
        <v>11.15</v>
      </c>
      <c r="F40" s="3" t="s">
        <v>8</v>
      </c>
      <c r="G40" s="5" t="s">
        <v>87</v>
      </c>
    </row>
    <row r="41" ht="14.25" customHeight="1">
      <c r="A41" s="3" t="s">
        <v>88</v>
      </c>
      <c r="B41" s="3">
        <v>16.0</v>
      </c>
      <c r="C41" s="3">
        <v>20.0</v>
      </c>
      <c r="D41" s="4">
        <v>4.2</v>
      </c>
      <c r="E41" s="4">
        <v>4.2</v>
      </c>
      <c r="F41" s="3" t="s">
        <v>8</v>
      </c>
      <c r="G41" s="5" t="s">
        <v>89</v>
      </c>
    </row>
    <row r="42" ht="14.25" customHeight="1">
      <c r="A42" s="3" t="s">
        <v>90</v>
      </c>
      <c r="B42" s="3">
        <v>1.0</v>
      </c>
      <c r="C42" s="3">
        <v>1.0</v>
      </c>
      <c r="D42" s="4">
        <v>2.86</v>
      </c>
      <c r="E42" s="4">
        <v>2.86</v>
      </c>
      <c r="F42" s="3" t="s">
        <v>8</v>
      </c>
      <c r="G42" s="5" t="s">
        <v>91</v>
      </c>
    </row>
    <row r="43" ht="14.25" customHeight="1">
      <c r="A43" s="3" t="s">
        <v>92</v>
      </c>
      <c r="B43" s="3">
        <v>1.0</v>
      </c>
      <c r="C43" s="3">
        <v>1.0</v>
      </c>
      <c r="D43" s="4">
        <v>1.0</v>
      </c>
      <c r="E43" s="4">
        <v>1.0</v>
      </c>
      <c r="F43" s="3" t="s">
        <v>8</v>
      </c>
      <c r="G43" s="5" t="s">
        <v>93</v>
      </c>
    </row>
    <row r="44" ht="14.25" customHeight="1">
      <c r="A44" s="3" t="s">
        <v>94</v>
      </c>
      <c r="B44" s="3">
        <v>1.0</v>
      </c>
      <c r="C44" s="3">
        <v>1.0</v>
      </c>
      <c r="D44" s="4">
        <v>3.44</v>
      </c>
      <c r="E44" s="4">
        <v>3.44</v>
      </c>
      <c r="F44" s="3" t="s">
        <v>8</v>
      </c>
      <c r="G44" s="5" t="s">
        <v>95</v>
      </c>
    </row>
    <row r="45" ht="14.25" customHeight="1">
      <c r="A45" s="3" t="s">
        <v>96</v>
      </c>
      <c r="B45" s="3">
        <v>1.0</v>
      </c>
      <c r="C45" s="3">
        <v>1.0</v>
      </c>
      <c r="D45" s="4">
        <v>17.16</v>
      </c>
      <c r="E45" s="4">
        <v>17.16</v>
      </c>
      <c r="F45" s="3" t="s">
        <v>8</v>
      </c>
      <c r="G45" s="5" t="s">
        <v>97</v>
      </c>
    </row>
    <row r="46" ht="14.25" customHeight="1">
      <c r="A46" s="3" t="s">
        <v>98</v>
      </c>
      <c r="B46" s="3">
        <v>1.0</v>
      </c>
      <c r="C46" s="3">
        <v>1.0</v>
      </c>
      <c r="D46" s="4">
        <v>16.86</v>
      </c>
      <c r="E46" s="4">
        <v>16.86</v>
      </c>
      <c r="F46" s="3" t="s">
        <v>8</v>
      </c>
      <c r="G46" s="5" t="s">
        <v>97</v>
      </c>
    </row>
    <row r="47" ht="14.25" customHeight="1">
      <c r="A47" s="3" t="s">
        <v>99</v>
      </c>
      <c r="B47" s="3">
        <v>1.0</v>
      </c>
      <c r="C47" s="3">
        <v>1.0</v>
      </c>
      <c r="D47" s="4">
        <v>5.54</v>
      </c>
      <c r="E47" s="4">
        <v>5.54</v>
      </c>
      <c r="F47" s="3" t="s">
        <v>8</v>
      </c>
      <c r="G47" s="5" t="s">
        <v>100</v>
      </c>
    </row>
    <row r="48" ht="14.25" customHeight="1">
      <c r="A48" s="3" t="s">
        <v>101</v>
      </c>
      <c r="B48" s="3">
        <v>1.0</v>
      </c>
      <c r="C48" s="3">
        <v>1.0</v>
      </c>
      <c r="D48" s="4">
        <v>4.59</v>
      </c>
      <c r="E48" s="4">
        <v>4.59</v>
      </c>
      <c r="F48" s="3" t="s">
        <v>8</v>
      </c>
      <c r="G48" s="5" t="s">
        <v>102</v>
      </c>
    </row>
    <row r="49" ht="14.25" customHeight="1">
      <c r="A49" s="3" t="s">
        <v>103</v>
      </c>
      <c r="B49" s="3">
        <v>1.0</v>
      </c>
      <c r="C49" s="3">
        <v>1.0</v>
      </c>
      <c r="D49" s="4">
        <v>20.59</v>
      </c>
      <c r="E49" s="4">
        <v>20.59</v>
      </c>
      <c r="F49" s="7" t="s">
        <v>104</v>
      </c>
      <c r="G49" s="5" t="s">
        <v>105</v>
      </c>
    </row>
    <row r="50" ht="14.25" customHeight="1">
      <c r="A50" s="3" t="s">
        <v>106</v>
      </c>
      <c r="B50" s="3">
        <v>16.0</v>
      </c>
      <c r="C50" s="3">
        <v>30.0</v>
      </c>
      <c r="D50" s="4">
        <v>6.99</v>
      </c>
      <c r="E50" s="4">
        <f>D48</f>
        <v>4.59</v>
      </c>
      <c r="F50" s="3" t="s">
        <v>104</v>
      </c>
      <c r="G50" s="5" t="s">
        <v>107</v>
      </c>
    </row>
    <row r="51" ht="14.25" customHeight="1">
      <c r="A51" s="3" t="s">
        <v>108</v>
      </c>
      <c r="B51" s="3">
        <v>16.0</v>
      </c>
      <c r="C51" s="3">
        <v>30.0</v>
      </c>
      <c r="D51" s="4">
        <v>7.49</v>
      </c>
      <c r="E51" s="4">
        <f>D51</f>
        <v>7.49</v>
      </c>
      <c r="F51" s="3" t="s">
        <v>104</v>
      </c>
      <c r="G51" s="8" t="s">
        <v>109</v>
      </c>
    </row>
    <row r="52" ht="14.25" customHeight="1">
      <c r="A52" s="3" t="s">
        <v>110</v>
      </c>
      <c r="B52" s="3">
        <v>1.0</v>
      </c>
      <c r="C52" s="3">
        <v>1.0</v>
      </c>
      <c r="D52" s="4">
        <v>1.99</v>
      </c>
      <c r="E52" s="4">
        <v>1.99</v>
      </c>
      <c r="F52" s="3" t="s">
        <v>111</v>
      </c>
      <c r="G52" s="5" t="s">
        <v>112</v>
      </c>
    </row>
    <row r="53" ht="14.25" customHeight="1">
      <c r="A53" s="3" t="s">
        <v>113</v>
      </c>
      <c r="B53" s="3">
        <v>1.0</v>
      </c>
      <c r="C53" s="3">
        <v>1.0</v>
      </c>
      <c r="D53" s="4">
        <v>3.11</v>
      </c>
      <c r="E53" s="4">
        <v>3.11</v>
      </c>
      <c r="F53" s="3" t="s">
        <v>114</v>
      </c>
      <c r="G53" s="5" t="s">
        <v>115</v>
      </c>
    </row>
    <row r="54" ht="14.25" customHeight="1">
      <c r="A54" s="3" t="s">
        <v>116</v>
      </c>
      <c r="B54" s="3">
        <v>1.0</v>
      </c>
      <c r="C54" s="3">
        <v>1.0</v>
      </c>
      <c r="D54" s="4">
        <v>0.59</v>
      </c>
      <c r="E54" s="4">
        <v>0.59</v>
      </c>
      <c r="F54" s="3" t="s">
        <v>111</v>
      </c>
      <c r="G54" s="6" t="s">
        <v>117</v>
      </c>
    </row>
    <row r="55">
      <c r="D55" s="9" t="s">
        <v>118</v>
      </c>
      <c r="E55" s="10">
        <f>sum(E2:E54)</f>
        <v>306.76</v>
      </c>
    </row>
    <row r="57" ht="14.25" customHeight="1">
      <c r="A57" s="11" t="s">
        <v>119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4.25" customHeight="1"/>
    <row r="59" ht="14.25" customHeight="1">
      <c r="A59" s="3" t="s">
        <v>120</v>
      </c>
      <c r="B59" s="3">
        <v>1.0</v>
      </c>
      <c r="C59" s="3">
        <v>1.0</v>
      </c>
      <c r="D59" s="4">
        <v>19.99</v>
      </c>
      <c r="E59" s="4">
        <v>19.99</v>
      </c>
      <c r="F59" s="3" t="s">
        <v>104</v>
      </c>
      <c r="G59" s="5" t="s">
        <v>121</v>
      </c>
    </row>
    <row r="60" ht="14.25" customHeight="1">
      <c r="A60" s="3" t="s">
        <v>122</v>
      </c>
      <c r="B60" s="3">
        <v>1.0</v>
      </c>
      <c r="C60" s="3">
        <v>1.0</v>
      </c>
      <c r="D60" s="4">
        <v>14.29</v>
      </c>
      <c r="E60" s="4">
        <v>14.29</v>
      </c>
      <c r="F60" s="3" t="s">
        <v>104</v>
      </c>
      <c r="G60" s="5" t="s">
        <v>123</v>
      </c>
    </row>
    <row r="61" ht="14.25" customHeight="1">
      <c r="A61" s="3" t="s">
        <v>124</v>
      </c>
      <c r="D61" s="12">
        <v>70.0</v>
      </c>
      <c r="E61" s="12">
        <v>70.0</v>
      </c>
      <c r="F61" s="3" t="s">
        <v>13</v>
      </c>
      <c r="G61" s="5" t="s">
        <v>125</v>
      </c>
    </row>
    <row r="62" ht="14.25" customHeight="1">
      <c r="A62" s="3" t="s">
        <v>126</v>
      </c>
      <c r="B62" s="3">
        <v>1.0</v>
      </c>
      <c r="C62" s="3">
        <v>1.0</v>
      </c>
      <c r="D62" s="4">
        <v>0.95</v>
      </c>
      <c r="E62" s="4">
        <v>0.95</v>
      </c>
      <c r="F62" s="3" t="s">
        <v>8</v>
      </c>
      <c r="G62" s="5" t="s">
        <v>127</v>
      </c>
    </row>
    <row r="63" ht="14.25" customHeight="1">
      <c r="A63" s="13" t="s">
        <v>128</v>
      </c>
      <c r="B63" s="13">
        <v>1.0</v>
      </c>
      <c r="C63" s="13">
        <v>1.0</v>
      </c>
      <c r="D63" s="14">
        <v>14.99</v>
      </c>
      <c r="E63" s="14">
        <v>14.99</v>
      </c>
      <c r="F63" s="3" t="s">
        <v>104</v>
      </c>
      <c r="G63" s="15" t="s">
        <v>129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>
      <c r="A72" s="3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9"/>
    <hyperlink r:id="rId55" ref="G60"/>
    <hyperlink r:id="rId56" ref="G61"/>
    <hyperlink r:id="rId57" ref="G62"/>
    <hyperlink r:id="rId58" ref="G63"/>
  </hyperlinks>
  <printOptions/>
  <pageMargins bottom="0.75" footer="0.0" header="0.0" left="0.7" right="0.7" top="0.75"/>
  <pageSetup orientation="portrait"/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6.43"/>
    <col customWidth="1" min="3" max="3" width="14.57"/>
    <col customWidth="1" min="4" max="4" width="11.86"/>
    <col customWidth="1" min="5" max="5" width="12.86"/>
    <col customWidth="1" min="6" max="6" width="11.0"/>
    <col customWidth="1" min="7" max="7" width="68.29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3">
        <v>1.0</v>
      </c>
      <c r="C2" s="3">
        <v>1.0</v>
      </c>
      <c r="D2" s="4">
        <v>9.98</v>
      </c>
      <c r="E2" s="4">
        <v>9.98</v>
      </c>
      <c r="F2" s="3" t="s">
        <v>8</v>
      </c>
      <c r="G2" s="5" t="s">
        <v>9</v>
      </c>
    </row>
    <row r="3" ht="14.25" customHeight="1">
      <c r="A3" s="3" t="s">
        <v>10</v>
      </c>
      <c r="B3" s="3">
        <v>1.0</v>
      </c>
      <c r="C3" s="3">
        <v>1.0</v>
      </c>
      <c r="D3" s="4">
        <v>10.01</v>
      </c>
      <c r="E3" s="4">
        <v>10.01</v>
      </c>
      <c r="F3" s="3" t="s">
        <v>8</v>
      </c>
      <c r="G3" s="5" t="s">
        <v>11</v>
      </c>
    </row>
    <row r="4" ht="14.25" customHeight="1">
      <c r="A4" s="3" t="s">
        <v>12</v>
      </c>
      <c r="B4" s="3">
        <v>1.0</v>
      </c>
      <c r="C4" s="3">
        <v>1.0</v>
      </c>
      <c r="D4" s="4">
        <v>14.0</v>
      </c>
      <c r="E4" s="4">
        <v>14.0</v>
      </c>
      <c r="F4" s="3" t="s">
        <v>13</v>
      </c>
      <c r="G4" s="5" t="s">
        <v>14</v>
      </c>
    </row>
    <row r="5" ht="14.25" customHeight="1">
      <c r="A5" s="3" t="s">
        <v>19</v>
      </c>
      <c r="B5" s="3">
        <v>1.0</v>
      </c>
      <c r="C5" s="3">
        <v>1.0</v>
      </c>
      <c r="D5" s="4">
        <v>1.58</v>
      </c>
      <c r="E5" s="4">
        <v>1.58</v>
      </c>
      <c r="F5" s="3" t="s">
        <v>8</v>
      </c>
      <c r="G5" s="5" t="s">
        <v>130</v>
      </c>
    </row>
    <row r="6" ht="14.25" customHeight="1">
      <c r="A6" s="3" t="s">
        <v>21</v>
      </c>
      <c r="B6" s="3">
        <v>4.0</v>
      </c>
      <c r="C6" s="3">
        <v>1.0</v>
      </c>
      <c r="D6" s="4">
        <v>3.66</v>
      </c>
      <c r="E6" s="4">
        <f>B6*D6</f>
        <v>14.64</v>
      </c>
      <c r="F6" s="3" t="s">
        <v>8</v>
      </c>
      <c r="G6" s="5" t="s">
        <v>22</v>
      </c>
    </row>
    <row r="7" ht="14.25" customHeight="1">
      <c r="A7" s="3" t="s">
        <v>23</v>
      </c>
      <c r="B7" s="3">
        <v>1.0</v>
      </c>
      <c r="C7" s="3">
        <v>1.0</v>
      </c>
      <c r="D7" s="4">
        <v>1.08</v>
      </c>
      <c r="E7" s="4">
        <v>1.08</v>
      </c>
      <c r="F7" s="3" t="s">
        <v>8</v>
      </c>
      <c r="G7" s="6" t="s">
        <v>24</v>
      </c>
    </row>
    <row r="8" ht="14.25" customHeight="1">
      <c r="A8" s="3" t="s">
        <v>27</v>
      </c>
      <c r="B8" s="3">
        <v>2.0</v>
      </c>
      <c r="C8" s="3">
        <v>2.0</v>
      </c>
      <c r="D8" s="4">
        <v>1.09</v>
      </c>
      <c r="E8" s="4">
        <v>1.09</v>
      </c>
      <c r="F8" s="3" t="s">
        <v>8</v>
      </c>
      <c r="G8" s="5" t="s">
        <v>28</v>
      </c>
    </row>
    <row r="9" ht="14.25" customHeight="1">
      <c r="A9" s="3" t="s">
        <v>29</v>
      </c>
      <c r="B9" s="3">
        <v>1.0</v>
      </c>
      <c r="C9" s="3">
        <v>1.0</v>
      </c>
      <c r="D9" s="4">
        <v>3.52</v>
      </c>
      <c r="E9" s="4">
        <v>3.52</v>
      </c>
      <c r="F9" s="3" t="s">
        <v>8</v>
      </c>
      <c r="G9" s="5" t="s">
        <v>30</v>
      </c>
    </row>
    <row r="10" ht="14.25" customHeight="1">
      <c r="A10" s="3" t="s">
        <v>31</v>
      </c>
      <c r="B10" s="3">
        <v>1.0</v>
      </c>
      <c r="C10" s="3">
        <v>1.0</v>
      </c>
      <c r="D10" s="4">
        <v>17.4</v>
      </c>
      <c r="E10" s="4">
        <v>17.4</v>
      </c>
      <c r="F10" s="3" t="s">
        <v>8</v>
      </c>
      <c r="G10" s="5" t="s">
        <v>32</v>
      </c>
    </row>
    <row r="11" ht="14.25" customHeight="1">
      <c r="A11" s="3" t="s">
        <v>33</v>
      </c>
      <c r="B11" s="3">
        <v>1.0</v>
      </c>
      <c r="C11" s="3">
        <v>1.0</v>
      </c>
      <c r="D11" s="4">
        <v>15.58</v>
      </c>
      <c r="E11" s="4">
        <v>15.58</v>
      </c>
      <c r="F11" s="3" t="s">
        <v>8</v>
      </c>
      <c r="G11" s="5" t="s">
        <v>34</v>
      </c>
    </row>
    <row r="12" ht="14.25" customHeight="1">
      <c r="A12" s="3" t="s">
        <v>35</v>
      </c>
      <c r="B12" s="3">
        <v>1.0</v>
      </c>
      <c r="C12" s="3">
        <v>1.0</v>
      </c>
      <c r="D12" s="4">
        <v>4.65</v>
      </c>
      <c r="E12" s="4">
        <v>4.65</v>
      </c>
      <c r="F12" s="3" t="s">
        <v>8</v>
      </c>
      <c r="G12" s="5" t="s">
        <v>36</v>
      </c>
    </row>
    <row r="13" ht="14.25" customHeight="1">
      <c r="A13" s="3" t="s">
        <v>37</v>
      </c>
      <c r="B13" s="3">
        <v>50.0</v>
      </c>
      <c r="C13" s="3">
        <v>100.0</v>
      </c>
      <c r="D13" s="4">
        <v>1.35</v>
      </c>
      <c r="E13" s="4">
        <v>1.35</v>
      </c>
      <c r="F13" s="3" t="s">
        <v>8</v>
      </c>
      <c r="G13" s="5" t="s">
        <v>38</v>
      </c>
    </row>
    <row r="14" ht="14.25" customHeight="1">
      <c r="A14" s="3" t="s">
        <v>39</v>
      </c>
      <c r="B14" s="3">
        <v>100.0</v>
      </c>
      <c r="C14" s="3">
        <v>100.0</v>
      </c>
      <c r="D14" s="4">
        <v>1.67</v>
      </c>
      <c r="E14" s="4">
        <v>1.67</v>
      </c>
      <c r="F14" s="3" t="s">
        <v>8</v>
      </c>
      <c r="G14" s="5" t="s">
        <v>40</v>
      </c>
    </row>
    <row r="15" ht="14.25" customHeight="1">
      <c r="A15" s="3" t="s">
        <v>41</v>
      </c>
      <c r="B15" s="3">
        <v>20.0</v>
      </c>
      <c r="C15" s="3">
        <v>20.0</v>
      </c>
      <c r="D15" s="4">
        <v>3.25</v>
      </c>
      <c r="E15" s="4">
        <v>3.25</v>
      </c>
      <c r="F15" s="3" t="s">
        <v>8</v>
      </c>
      <c r="G15" s="5" t="s">
        <v>42</v>
      </c>
    </row>
    <row r="16" ht="14.25" customHeight="1">
      <c r="A16" s="3" t="s">
        <v>43</v>
      </c>
      <c r="B16" s="3">
        <v>20.0</v>
      </c>
      <c r="C16" s="3">
        <v>20.0</v>
      </c>
      <c r="D16" s="4">
        <v>2.81</v>
      </c>
      <c r="E16" s="4">
        <v>2.81</v>
      </c>
      <c r="F16" s="3" t="s">
        <v>8</v>
      </c>
      <c r="G16" s="5" t="s">
        <v>42</v>
      </c>
    </row>
    <row r="17" ht="14.25" customHeight="1">
      <c r="A17" s="3" t="s">
        <v>46</v>
      </c>
      <c r="B17" s="3">
        <v>1.0</v>
      </c>
      <c r="C17" s="3">
        <v>1.0</v>
      </c>
      <c r="D17" s="4">
        <v>3.83</v>
      </c>
      <c r="E17" s="4">
        <v>3.83</v>
      </c>
      <c r="F17" s="3" t="s">
        <v>8</v>
      </c>
      <c r="G17" s="5" t="s">
        <v>47</v>
      </c>
    </row>
    <row r="18" ht="14.25" customHeight="1">
      <c r="A18" s="3" t="s">
        <v>50</v>
      </c>
      <c r="B18" s="3">
        <v>1.0</v>
      </c>
      <c r="C18" s="3">
        <v>1.0</v>
      </c>
      <c r="D18" s="4">
        <v>1.15</v>
      </c>
      <c r="E18" s="4">
        <v>1.15</v>
      </c>
      <c r="F18" s="3" t="s">
        <v>8</v>
      </c>
      <c r="G18" s="5" t="s">
        <v>51</v>
      </c>
    </row>
    <row r="19" ht="14.25" customHeight="1">
      <c r="A19" s="3" t="s">
        <v>52</v>
      </c>
      <c r="B19" s="3">
        <v>1.0</v>
      </c>
      <c r="C19" s="3">
        <v>6.0</v>
      </c>
      <c r="D19" s="4">
        <v>16.99</v>
      </c>
      <c r="E19" s="4">
        <v>16.99</v>
      </c>
      <c r="F19" s="3" t="s">
        <v>8</v>
      </c>
      <c r="G19" s="6" t="s">
        <v>53</v>
      </c>
    </row>
    <row r="20" ht="14.25" customHeight="1">
      <c r="A20" s="3" t="s">
        <v>54</v>
      </c>
      <c r="B20" s="3">
        <v>1.0</v>
      </c>
      <c r="C20" s="3">
        <v>1.0</v>
      </c>
      <c r="D20" s="4">
        <v>2.41</v>
      </c>
      <c r="E20" s="4">
        <v>2.41</v>
      </c>
      <c r="F20" s="3" t="s">
        <v>8</v>
      </c>
      <c r="G20" s="5" t="s">
        <v>55</v>
      </c>
    </row>
    <row r="21" ht="14.25" customHeight="1">
      <c r="A21" s="3" t="s">
        <v>56</v>
      </c>
      <c r="B21" s="3">
        <v>1.0</v>
      </c>
      <c r="C21" s="3">
        <v>1.0</v>
      </c>
      <c r="D21" s="4">
        <v>5.64</v>
      </c>
      <c r="E21" s="4">
        <v>5.64</v>
      </c>
      <c r="F21" s="3" t="s">
        <v>8</v>
      </c>
      <c r="G21" s="5" t="s">
        <v>57</v>
      </c>
    </row>
    <row r="22" ht="14.25" customHeight="1">
      <c r="A22" s="3" t="s">
        <v>63</v>
      </c>
      <c r="B22" s="3">
        <v>1.0</v>
      </c>
      <c r="C22" s="3">
        <v>1.0</v>
      </c>
      <c r="D22" s="4">
        <v>2.43</v>
      </c>
      <c r="E22" s="4">
        <v>2.43</v>
      </c>
      <c r="F22" s="3" t="s">
        <v>8</v>
      </c>
      <c r="G22" s="5" t="s">
        <v>64</v>
      </c>
    </row>
    <row r="23" ht="14.25" customHeight="1">
      <c r="A23" s="3" t="s">
        <v>72</v>
      </c>
      <c r="B23" s="3">
        <v>1.0</v>
      </c>
      <c r="C23" s="3">
        <v>1.0</v>
      </c>
      <c r="D23" s="4">
        <v>2.04</v>
      </c>
      <c r="E23" s="4">
        <v>2.04</v>
      </c>
      <c r="F23" s="3" t="s">
        <v>8</v>
      </c>
      <c r="G23" s="5" t="s">
        <v>73</v>
      </c>
    </row>
    <row r="24" ht="14.25" customHeight="1">
      <c r="A24" s="3" t="s">
        <v>74</v>
      </c>
      <c r="B24" s="3">
        <v>1.0</v>
      </c>
      <c r="C24" s="3">
        <v>10.0</v>
      </c>
      <c r="D24" s="4">
        <v>6.36</v>
      </c>
      <c r="E24" s="4">
        <v>6.36</v>
      </c>
      <c r="F24" s="3" t="s">
        <v>8</v>
      </c>
      <c r="G24" s="5" t="s">
        <v>75</v>
      </c>
    </row>
    <row r="25" ht="14.25" customHeight="1">
      <c r="A25" s="3" t="s">
        <v>82</v>
      </c>
      <c r="B25" s="3">
        <v>1.0</v>
      </c>
      <c r="C25" s="3">
        <v>1.0</v>
      </c>
      <c r="D25" s="4">
        <v>8.05</v>
      </c>
      <c r="E25" s="4">
        <v>8.05</v>
      </c>
      <c r="F25" s="3" t="s">
        <v>8</v>
      </c>
      <c r="G25" s="5" t="s">
        <v>83</v>
      </c>
    </row>
    <row r="26" ht="14.25" customHeight="1">
      <c r="A26" s="3" t="s">
        <v>103</v>
      </c>
      <c r="B26" s="3">
        <v>1.0</v>
      </c>
      <c r="C26" s="3">
        <v>1.0</v>
      </c>
      <c r="D26" s="12">
        <v>18.99</v>
      </c>
      <c r="E26" s="12">
        <v>18.99</v>
      </c>
      <c r="F26" s="3" t="s">
        <v>104</v>
      </c>
      <c r="G26" s="5" t="s">
        <v>105</v>
      </c>
    </row>
    <row r="27" ht="14.25" customHeight="1">
      <c r="A27" s="3" t="s">
        <v>88</v>
      </c>
      <c r="B27" s="3">
        <v>16.0</v>
      </c>
      <c r="C27" s="3">
        <v>20.0</v>
      </c>
      <c r="D27" s="4">
        <v>4.2</v>
      </c>
      <c r="E27" s="4">
        <v>4.2</v>
      </c>
      <c r="F27" s="3" t="s">
        <v>8</v>
      </c>
      <c r="G27" s="5" t="s">
        <v>89</v>
      </c>
    </row>
    <row r="28" ht="14.25" customHeight="1">
      <c r="A28" s="3" t="s">
        <v>90</v>
      </c>
      <c r="B28" s="3">
        <v>1.0</v>
      </c>
      <c r="C28" s="3">
        <v>1.0</v>
      </c>
      <c r="D28" s="4">
        <v>2.86</v>
      </c>
      <c r="E28" s="4">
        <v>2.86</v>
      </c>
      <c r="F28" s="3" t="s">
        <v>8</v>
      </c>
      <c r="G28" s="5" t="s">
        <v>91</v>
      </c>
    </row>
    <row r="29" ht="14.25" customHeight="1">
      <c r="A29" s="3" t="s">
        <v>92</v>
      </c>
      <c r="B29" s="3">
        <v>1.0</v>
      </c>
      <c r="C29" s="3">
        <v>1.0</v>
      </c>
      <c r="D29" s="4">
        <v>1.0</v>
      </c>
      <c r="E29" s="4">
        <v>1.0</v>
      </c>
      <c r="F29" s="3" t="s">
        <v>8</v>
      </c>
      <c r="G29" s="5" t="s">
        <v>93</v>
      </c>
    </row>
    <row r="30" ht="14.25" customHeight="1">
      <c r="A30" s="3" t="s">
        <v>106</v>
      </c>
      <c r="B30" s="3">
        <v>16.0</v>
      </c>
      <c r="C30" s="3">
        <v>30.0</v>
      </c>
      <c r="D30" s="4">
        <v>6.99</v>
      </c>
      <c r="E30" s="4">
        <v>6.99</v>
      </c>
      <c r="F30" s="3" t="s">
        <v>104</v>
      </c>
      <c r="G30" s="5" t="s">
        <v>107</v>
      </c>
    </row>
    <row r="31" ht="14.25" customHeight="1">
      <c r="A31" s="3" t="s">
        <v>108</v>
      </c>
      <c r="B31" s="3">
        <v>16.0</v>
      </c>
      <c r="C31" s="3">
        <v>30.0</v>
      </c>
      <c r="D31" s="4">
        <v>7.49</v>
      </c>
      <c r="E31" s="4">
        <f>D31</f>
        <v>7.49</v>
      </c>
      <c r="F31" s="3" t="s">
        <v>104</v>
      </c>
      <c r="G31" s="8" t="s">
        <v>109</v>
      </c>
    </row>
    <row r="32" ht="14.25" customHeight="1">
      <c r="A32" s="3" t="s">
        <v>110</v>
      </c>
      <c r="B32" s="3">
        <v>1.0</v>
      </c>
      <c r="C32" s="3">
        <v>1.0</v>
      </c>
      <c r="D32" s="4">
        <v>1.99</v>
      </c>
      <c r="E32" s="4">
        <v>1.99</v>
      </c>
      <c r="F32" s="3" t="s">
        <v>111</v>
      </c>
      <c r="G32" s="5" t="s">
        <v>112</v>
      </c>
    </row>
    <row r="33" ht="14.25" customHeight="1">
      <c r="A33" s="3" t="s">
        <v>113</v>
      </c>
      <c r="B33" s="3">
        <v>1.0</v>
      </c>
      <c r="C33" s="3">
        <v>1.0</v>
      </c>
      <c r="D33" s="4">
        <v>3.11</v>
      </c>
      <c r="E33" s="4">
        <v>3.11</v>
      </c>
      <c r="F33" s="3" t="s">
        <v>114</v>
      </c>
      <c r="G33" s="5" t="s">
        <v>115</v>
      </c>
    </row>
    <row r="34" ht="14.25" customHeight="1">
      <c r="A34" s="3" t="s">
        <v>116</v>
      </c>
      <c r="B34" s="3">
        <v>1.0</v>
      </c>
      <c r="C34" s="3">
        <v>1.0</v>
      </c>
      <c r="D34" s="4">
        <v>0.59</v>
      </c>
      <c r="E34" s="4">
        <v>0.59</v>
      </c>
      <c r="F34" s="3" t="s">
        <v>111</v>
      </c>
      <c r="G34" s="6" t="s">
        <v>117</v>
      </c>
    </row>
    <row r="35">
      <c r="D35" s="9" t="s">
        <v>118</v>
      </c>
      <c r="E35" s="10">
        <f>sum(E2:E34)</f>
        <v>198.73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</hyperlinks>
  <printOptions/>
  <pageMargins bottom="0.75" footer="0.0" header="0.0" left="0.7" right="0.7" top="0.75"/>
  <pageSetup orientation="portrait"/>
  <drawing r:id="rId3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Sebastian Cocioba</dc:creator>
</cp:coreProperties>
</file>